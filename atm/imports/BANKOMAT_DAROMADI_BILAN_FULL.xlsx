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.Ortiqov\Desktop\"/>
    </mc:Choice>
  </mc:AlternateContent>
  <xr:revisionPtr revIDLastSave="0" documentId="13_ncr:1_{8D83F7C5-D0F0-4CF4-9A12-7BC5885E525D}" xr6:coauthVersionLast="45" xr6:coauthVersionMax="45" xr10:uidLastSave="{00000000-0000-0000-0000-000000000000}"/>
  <bookViews>
    <workbookView xWindow="-120" yWindow="-120" windowWidth="29040" windowHeight="15720" tabRatio="754" xr2:uid="{00000000-000D-0000-FFFF-FFFF00000000}"/>
  </bookViews>
  <sheets>
    <sheet name="FULL" sheetId="1" r:id="rId1"/>
    <sheet name="Uzcard" sheetId="2" r:id="rId2"/>
    <sheet name="Humo" sheetId="3" r:id="rId3"/>
    <sheet name="2026 iyul uzcard" sheetId="18" r:id="rId4"/>
    <sheet name="2026 iyul humo" sheetId="19" r:id="rId5"/>
    <sheet name="2026 iyul vash" sheetId="21" r:id="rId6"/>
    <sheet name="2026 iyun vash" sheetId="22" r:id="rId7"/>
    <sheet name="2026 may vash" sheetId="23" r:id="rId8"/>
    <sheet name="2026 aprel vash" sheetId="24" r:id="rId9"/>
    <sheet name="2026 mart vash" sheetId="25" r:id="rId10"/>
    <sheet name="2026 fevral vash" sheetId="26" r:id="rId11"/>
    <sheet name="2026 yanvar vash" sheetId="27" r:id="rId12"/>
  </sheets>
  <definedNames>
    <definedName name="_xlnm._FilterDatabase" localSheetId="0" hidden="1">FULL!$A$1:$AE$358</definedName>
    <definedName name="_xlnm.Print_Area" localSheetId="0">FULL!$A$1:$AE$359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49" i="1" l="1"/>
  <c r="T149" i="1"/>
  <c r="S149" i="1"/>
  <c r="R149" i="1"/>
  <c r="Q149" i="1"/>
  <c r="P149" i="1"/>
  <c r="O149" i="1"/>
  <c r="AA149" i="1" l="1"/>
  <c r="U196" i="1"/>
  <c r="T196" i="1"/>
  <c r="S196" i="1"/>
  <c r="R196" i="1"/>
  <c r="Q196" i="1"/>
  <c r="P196" i="1"/>
  <c r="O196" i="1"/>
  <c r="U152" i="1"/>
  <c r="T152" i="1"/>
  <c r="S152" i="1"/>
  <c r="R152" i="1"/>
  <c r="Q152" i="1"/>
  <c r="P152" i="1"/>
  <c r="O152" i="1"/>
  <c r="U151" i="1"/>
  <c r="T151" i="1"/>
  <c r="S151" i="1"/>
  <c r="R151" i="1"/>
  <c r="Q151" i="1"/>
  <c r="P151" i="1"/>
  <c r="O151" i="1"/>
  <c r="AA196" i="1" l="1"/>
  <c r="AA152" i="1"/>
  <c r="AA151" i="1"/>
  <c r="U16" i="1"/>
  <c r="T16" i="1"/>
  <c r="S16" i="1"/>
  <c r="R16" i="1"/>
  <c r="Q16" i="1"/>
  <c r="P16" i="1"/>
  <c r="O16" i="1"/>
  <c r="AA16" i="1" l="1"/>
  <c r="U254" i="1"/>
  <c r="T254" i="1"/>
  <c r="S254" i="1"/>
  <c r="R254" i="1"/>
  <c r="Q254" i="1"/>
  <c r="P254" i="1"/>
  <c r="O254" i="1"/>
  <c r="U253" i="1"/>
  <c r="T253" i="1"/>
  <c r="S253" i="1"/>
  <c r="R253" i="1"/>
  <c r="Q253" i="1"/>
  <c r="P253" i="1"/>
  <c r="O253" i="1"/>
  <c r="AA254" i="1" l="1"/>
  <c r="AA253" i="1"/>
  <c r="U83" i="1" l="1"/>
  <c r="T83" i="1"/>
  <c r="S83" i="1"/>
  <c r="R83" i="1"/>
  <c r="Q83" i="1"/>
  <c r="P83" i="1"/>
  <c r="O83" i="1"/>
  <c r="U150" i="1"/>
  <c r="T150" i="1"/>
  <c r="S150" i="1"/>
  <c r="R150" i="1"/>
  <c r="Q150" i="1"/>
  <c r="P150" i="1"/>
  <c r="O150" i="1"/>
  <c r="U146" i="1"/>
  <c r="T146" i="1"/>
  <c r="S146" i="1"/>
  <c r="R146" i="1"/>
  <c r="Q146" i="1"/>
  <c r="P146" i="1"/>
  <c r="O146" i="1"/>
  <c r="U145" i="1"/>
  <c r="T145" i="1"/>
  <c r="S145" i="1"/>
  <c r="R145" i="1"/>
  <c r="Q145" i="1"/>
  <c r="P145" i="1"/>
  <c r="O145" i="1"/>
  <c r="U144" i="1"/>
  <c r="T144" i="1"/>
  <c r="S144" i="1"/>
  <c r="R144" i="1"/>
  <c r="Q144" i="1"/>
  <c r="P144" i="1"/>
  <c r="O144" i="1"/>
  <c r="AA83" i="1" l="1"/>
  <c r="AA150" i="1"/>
  <c r="AA146" i="1"/>
  <c r="AA144" i="1"/>
  <c r="AA145" i="1"/>
  <c r="V359" i="1" l="1"/>
  <c r="W359" i="1"/>
  <c r="X359" i="1"/>
  <c r="Y359" i="1"/>
  <c r="Z359" i="1"/>
  <c r="U2" i="1" l="1"/>
  <c r="T2" i="1"/>
  <c r="O2" i="1"/>
  <c r="T354" i="1" l="1"/>
  <c r="T350" i="1"/>
  <c r="T334" i="1"/>
  <c r="T331" i="1"/>
  <c r="T330" i="1"/>
  <c r="T307" i="1"/>
  <c r="T304" i="1"/>
  <c r="T300" i="1"/>
  <c r="T288" i="1"/>
  <c r="T285" i="1"/>
  <c r="T280" i="1"/>
  <c r="T277" i="1"/>
  <c r="T276" i="1"/>
  <c r="T275" i="1"/>
  <c r="T257" i="1"/>
  <c r="T256" i="1"/>
  <c r="T255" i="1"/>
  <c r="T234" i="1"/>
  <c r="T233" i="1"/>
  <c r="T231" i="1"/>
  <c r="T227" i="1"/>
  <c r="T226" i="1"/>
  <c r="T225" i="1"/>
  <c r="T224" i="1"/>
  <c r="T222" i="1"/>
  <c r="T211" i="1"/>
  <c r="T210" i="1"/>
  <c r="T207" i="1"/>
  <c r="T206" i="1"/>
  <c r="T203" i="1"/>
  <c r="T201" i="1"/>
  <c r="T198" i="1"/>
  <c r="T195" i="1"/>
  <c r="T194" i="1"/>
  <c r="T190" i="1"/>
  <c r="T189" i="1"/>
  <c r="T177" i="1"/>
  <c r="T169" i="1"/>
  <c r="T161" i="1"/>
  <c r="T159" i="1"/>
  <c r="T143" i="1"/>
  <c r="T133" i="1"/>
  <c r="T130" i="1"/>
  <c r="T126" i="1"/>
  <c r="T118" i="1"/>
  <c r="T115" i="1"/>
  <c r="T108" i="1"/>
  <c r="T105" i="1"/>
  <c r="T104" i="1"/>
  <c r="T71" i="1"/>
  <c r="T69" i="1"/>
  <c r="T66" i="1"/>
  <c r="T62" i="1"/>
  <c r="T57" i="1"/>
  <c r="T49" i="1"/>
  <c r="T44" i="1"/>
  <c r="T35" i="1"/>
  <c r="T26" i="1"/>
  <c r="T22" i="1"/>
  <c r="T21" i="1"/>
  <c r="S21" i="1"/>
  <c r="S354" i="1"/>
  <c r="S350" i="1"/>
  <c r="S334" i="1"/>
  <c r="S331" i="1"/>
  <c r="S330" i="1"/>
  <c r="S307" i="1"/>
  <c r="S304" i="1"/>
  <c r="S300" i="1"/>
  <c r="S288" i="1"/>
  <c r="S285" i="1"/>
  <c r="S280" i="1"/>
  <c r="S277" i="1"/>
  <c r="S276" i="1"/>
  <c r="S275" i="1"/>
  <c r="S257" i="1"/>
  <c r="S256" i="1"/>
  <c r="S255" i="1"/>
  <c r="S234" i="1"/>
  <c r="S233" i="1"/>
  <c r="S231" i="1"/>
  <c r="S227" i="1"/>
  <c r="S226" i="1"/>
  <c r="S225" i="1"/>
  <c r="S224" i="1"/>
  <c r="S222" i="1"/>
  <c r="S211" i="1"/>
  <c r="S210" i="1"/>
  <c r="S207" i="1"/>
  <c r="S206" i="1"/>
  <c r="S203" i="1"/>
  <c r="S201" i="1"/>
  <c r="S198" i="1"/>
  <c r="S195" i="1"/>
  <c r="S194" i="1"/>
  <c r="S190" i="1"/>
  <c r="S189" i="1"/>
  <c r="S177" i="1"/>
  <c r="S169" i="1"/>
  <c r="S161" i="1"/>
  <c r="S159" i="1"/>
  <c r="S143" i="1"/>
  <c r="S133" i="1"/>
  <c r="S130" i="1"/>
  <c r="S126" i="1"/>
  <c r="S118" i="1"/>
  <c r="S115" i="1"/>
  <c r="S108" i="1"/>
  <c r="S105" i="1"/>
  <c r="S104" i="1"/>
  <c r="S71" i="1"/>
  <c r="S69" i="1"/>
  <c r="S66" i="1"/>
  <c r="S62" i="1"/>
  <c r="S57" i="1"/>
  <c r="S49" i="1"/>
  <c r="S44" i="1"/>
  <c r="S35" i="1"/>
  <c r="S26" i="1"/>
  <c r="S22" i="1"/>
  <c r="R21" i="1"/>
  <c r="R354" i="1"/>
  <c r="R350" i="1"/>
  <c r="R334" i="1"/>
  <c r="R331" i="1"/>
  <c r="R330" i="1"/>
  <c r="R307" i="1"/>
  <c r="R304" i="1"/>
  <c r="R300" i="1"/>
  <c r="R288" i="1"/>
  <c r="R285" i="1"/>
  <c r="R280" i="1"/>
  <c r="R277" i="1"/>
  <c r="R276" i="1"/>
  <c r="R275" i="1"/>
  <c r="R257" i="1"/>
  <c r="R256" i="1"/>
  <c r="R255" i="1"/>
  <c r="R234" i="1"/>
  <c r="R233" i="1"/>
  <c r="R231" i="1"/>
  <c r="R227" i="1"/>
  <c r="R226" i="1"/>
  <c r="R225" i="1"/>
  <c r="R224" i="1"/>
  <c r="R222" i="1"/>
  <c r="R211" i="1"/>
  <c r="R210" i="1"/>
  <c r="R207" i="1"/>
  <c r="R206" i="1"/>
  <c r="R203" i="1"/>
  <c r="R201" i="1"/>
  <c r="R198" i="1"/>
  <c r="R195" i="1"/>
  <c r="R194" i="1"/>
  <c r="R190" i="1"/>
  <c r="R189" i="1"/>
  <c r="R177" i="1"/>
  <c r="R169" i="1"/>
  <c r="R161" i="1"/>
  <c r="R159" i="1"/>
  <c r="R143" i="1"/>
  <c r="R133" i="1"/>
  <c r="R130" i="1"/>
  <c r="R126" i="1"/>
  <c r="R118" i="1"/>
  <c r="R115" i="1"/>
  <c r="R108" i="1"/>
  <c r="R105" i="1"/>
  <c r="R104" i="1"/>
  <c r="R71" i="1"/>
  <c r="R69" i="1"/>
  <c r="R66" i="1"/>
  <c r="R62" i="1"/>
  <c r="R57" i="1"/>
  <c r="R49" i="1"/>
  <c r="R44" i="1"/>
  <c r="R35" i="1"/>
  <c r="R26" i="1"/>
  <c r="R22" i="1"/>
  <c r="Q21" i="1"/>
  <c r="Q354" i="1"/>
  <c r="Q350" i="1"/>
  <c r="Q334" i="1"/>
  <c r="Q331" i="1"/>
  <c r="Q330" i="1"/>
  <c r="Q307" i="1"/>
  <c r="Q304" i="1"/>
  <c r="Q300" i="1"/>
  <c r="Q288" i="1"/>
  <c r="Q285" i="1"/>
  <c r="Q280" i="1"/>
  <c r="Q277" i="1"/>
  <c r="Q276" i="1"/>
  <c r="Q275" i="1"/>
  <c r="Q257" i="1"/>
  <c r="Q256" i="1"/>
  <c r="Q255" i="1"/>
  <c r="Q234" i="1"/>
  <c r="Q233" i="1"/>
  <c r="Q231" i="1"/>
  <c r="Q227" i="1"/>
  <c r="Q226" i="1"/>
  <c r="Q225" i="1"/>
  <c r="Q224" i="1"/>
  <c r="Q222" i="1"/>
  <c r="Q211" i="1"/>
  <c r="Q210" i="1"/>
  <c r="Q207" i="1"/>
  <c r="Q206" i="1"/>
  <c r="Q203" i="1"/>
  <c r="Q201" i="1"/>
  <c r="Q198" i="1"/>
  <c r="Q195" i="1"/>
  <c r="Q194" i="1"/>
  <c r="Q190" i="1"/>
  <c r="Q189" i="1"/>
  <c r="Q177" i="1"/>
  <c r="Q169" i="1"/>
  <c r="Q161" i="1"/>
  <c r="Q159" i="1"/>
  <c r="Q143" i="1"/>
  <c r="Q133" i="1"/>
  <c r="Q130" i="1"/>
  <c r="Q126" i="1"/>
  <c r="Q118" i="1"/>
  <c r="Q115" i="1"/>
  <c r="Q108" i="1"/>
  <c r="Q105" i="1"/>
  <c r="Q104" i="1"/>
  <c r="Q71" i="1"/>
  <c r="Q69" i="1"/>
  <c r="Q66" i="1"/>
  <c r="Q62" i="1"/>
  <c r="Q57" i="1"/>
  <c r="Q49" i="1"/>
  <c r="Q44" i="1"/>
  <c r="Q35" i="1"/>
  <c r="Q26" i="1"/>
  <c r="Q22" i="1"/>
  <c r="P21" i="1"/>
  <c r="P354" i="1"/>
  <c r="P350" i="1"/>
  <c r="P334" i="1"/>
  <c r="P331" i="1"/>
  <c r="P330" i="1"/>
  <c r="P307" i="1"/>
  <c r="P304" i="1"/>
  <c r="P300" i="1"/>
  <c r="P288" i="1"/>
  <c r="P285" i="1"/>
  <c r="P280" i="1"/>
  <c r="P277" i="1"/>
  <c r="P276" i="1"/>
  <c r="P275" i="1"/>
  <c r="P257" i="1"/>
  <c r="P256" i="1"/>
  <c r="P255" i="1"/>
  <c r="P234" i="1"/>
  <c r="P233" i="1"/>
  <c r="P231" i="1"/>
  <c r="P227" i="1"/>
  <c r="P226" i="1"/>
  <c r="P225" i="1"/>
  <c r="P224" i="1"/>
  <c r="P222" i="1"/>
  <c r="P211" i="1"/>
  <c r="P210" i="1"/>
  <c r="P207" i="1"/>
  <c r="P206" i="1"/>
  <c r="P203" i="1"/>
  <c r="P201" i="1"/>
  <c r="P198" i="1"/>
  <c r="P195" i="1"/>
  <c r="P194" i="1"/>
  <c r="P190" i="1"/>
  <c r="P189" i="1"/>
  <c r="P177" i="1"/>
  <c r="P169" i="1"/>
  <c r="P161" i="1"/>
  <c r="P159" i="1"/>
  <c r="P143" i="1"/>
  <c r="P133" i="1"/>
  <c r="P130" i="1"/>
  <c r="P126" i="1"/>
  <c r="P118" i="1"/>
  <c r="P115" i="1"/>
  <c r="P108" i="1"/>
  <c r="P105" i="1"/>
  <c r="P104" i="1"/>
  <c r="P71" i="1"/>
  <c r="P69" i="1"/>
  <c r="P66" i="1"/>
  <c r="P62" i="1"/>
  <c r="P57" i="1"/>
  <c r="P49" i="1"/>
  <c r="P44" i="1"/>
  <c r="P35" i="1"/>
  <c r="P26" i="1"/>
  <c r="P22" i="1"/>
  <c r="O21" i="1"/>
  <c r="O354" i="1"/>
  <c r="O350" i="1"/>
  <c r="O334" i="1"/>
  <c r="O331" i="1"/>
  <c r="O330" i="1"/>
  <c r="O307" i="1"/>
  <c r="O304" i="1"/>
  <c r="O300" i="1"/>
  <c r="O288" i="1"/>
  <c r="O285" i="1"/>
  <c r="O280" i="1"/>
  <c r="O277" i="1"/>
  <c r="O276" i="1"/>
  <c r="O275" i="1"/>
  <c r="O257" i="1"/>
  <c r="O256" i="1"/>
  <c r="O255" i="1"/>
  <c r="O234" i="1"/>
  <c r="O233" i="1"/>
  <c r="O231" i="1"/>
  <c r="O227" i="1"/>
  <c r="O226" i="1"/>
  <c r="O225" i="1"/>
  <c r="O224" i="1"/>
  <c r="O222" i="1"/>
  <c r="O211" i="1"/>
  <c r="O210" i="1"/>
  <c r="O207" i="1"/>
  <c r="O206" i="1"/>
  <c r="O203" i="1"/>
  <c r="O201" i="1"/>
  <c r="O198" i="1"/>
  <c r="O195" i="1"/>
  <c r="O194" i="1"/>
  <c r="O190" i="1"/>
  <c r="O189" i="1"/>
  <c r="O177" i="1"/>
  <c r="O169" i="1"/>
  <c r="O161" i="1"/>
  <c r="O159" i="1"/>
  <c r="O143" i="1"/>
  <c r="O133" i="1"/>
  <c r="O130" i="1"/>
  <c r="O126" i="1"/>
  <c r="O118" i="1"/>
  <c r="O115" i="1"/>
  <c r="O108" i="1"/>
  <c r="O105" i="1"/>
  <c r="O104" i="1"/>
  <c r="O71" i="1"/>
  <c r="O69" i="1"/>
  <c r="O66" i="1"/>
  <c r="O62" i="1"/>
  <c r="O57" i="1"/>
  <c r="O49" i="1"/>
  <c r="O44" i="1"/>
  <c r="O35" i="1"/>
  <c r="O26" i="1"/>
  <c r="O22" i="1"/>
  <c r="U21" i="1"/>
  <c r="AA21" i="1" l="1"/>
  <c r="U354" i="1"/>
  <c r="AA354" i="1" s="1"/>
  <c r="U350" i="1"/>
  <c r="AA350" i="1" s="1"/>
  <c r="U334" i="1"/>
  <c r="AA334" i="1" s="1"/>
  <c r="U331" i="1"/>
  <c r="AA331" i="1" s="1"/>
  <c r="U330" i="1"/>
  <c r="AA330" i="1" s="1"/>
  <c r="U307" i="1"/>
  <c r="AA307" i="1" s="1"/>
  <c r="U304" i="1"/>
  <c r="AA304" i="1" s="1"/>
  <c r="U300" i="1"/>
  <c r="AA300" i="1" s="1"/>
  <c r="U288" i="1"/>
  <c r="AA288" i="1" s="1"/>
  <c r="U285" i="1"/>
  <c r="AA285" i="1" s="1"/>
  <c r="U280" i="1"/>
  <c r="AA280" i="1" s="1"/>
  <c r="U277" i="1"/>
  <c r="AA277" i="1" s="1"/>
  <c r="U276" i="1"/>
  <c r="AA276" i="1" s="1"/>
  <c r="U275" i="1"/>
  <c r="AA275" i="1" s="1"/>
  <c r="U257" i="1"/>
  <c r="AA257" i="1" s="1"/>
  <c r="U256" i="1"/>
  <c r="AA256" i="1" s="1"/>
  <c r="U255" i="1"/>
  <c r="AA255" i="1" s="1"/>
  <c r="U234" i="1"/>
  <c r="AA234" i="1" s="1"/>
  <c r="U233" i="1"/>
  <c r="AA233" i="1" s="1"/>
  <c r="U231" i="1"/>
  <c r="AA231" i="1" s="1"/>
  <c r="U227" i="1"/>
  <c r="AA227" i="1" s="1"/>
  <c r="U226" i="1"/>
  <c r="AA226" i="1" s="1"/>
  <c r="U225" i="1"/>
  <c r="AA225" i="1" s="1"/>
  <c r="U224" i="1"/>
  <c r="AA224" i="1" s="1"/>
  <c r="U222" i="1"/>
  <c r="AA222" i="1" s="1"/>
  <c r="U211" i="1"/>
  <c r="AA211" i="1" s="1"/>
  <c r="U210" i="1"/>
  <c r="AA210" i="1" s="1"/>
  <c r="U207" i="1"/>
  <c r="AA207" i="1" s="1"/>
  <c r="U206" i="1"/>
  <c r="AA206" i="1" s="1"/>
  <c r="U203" i="1"/>
  <c r="AA203" i="1" s="1"/>
  <c r="U201" i="1"/>
  <c r="AA201" i="1" s="1"/>
  <c r="U198" i="1"/>
  <c r="AA198" i="1" s="1"/>
  <c r="U195" i="1"/>
  <c r="AA195" i="1" s="1"/>
  <c r="U194" i="1"/>
  <c r="AA194" i="1" s="1"/>
  <c r="U190" i="1"/>
  <c r="AA190" i="1" s="1"/>
  <c r="U189" i="1"/>
  <c r="AA189" i="1" s="1"/>
  <c r="U177" i="1"/>
  <c r="AA177" i="1" s="1"/>
  <c r="U169" i="1"/>
  <c r="AA169" i="1" s="1"/>
  <c r="U161" i="1"/>
  <c r="AA161" i="1" s="1"/>
  <c r="U159" i="1"/>
  <c r="AA159" i="1" s="1"/>
  <c r="U143" i="1"/>
  <c r="AA143" i="1" s="1"/>
  <c r="U133" i="1"/>
  <c r="AA133" i="1" s="1"/>
  <c r="U130" i="1"/>
  <c r="AA130" i="1" s="1"/>
  <c r="U126" i="1"/>
  <c r="AA126" i="1" s="1"/>
  <c r="U118" i="1"/>
  <c r="AA118" i="1" s="1"/>
  <c r="U115" i="1"/>
  <c r="AA115" i="1" s="1"/>
  <c r="U108" i="1"/>
  <c r="AA108" i="1" s="1"/>
  <c r="U105" i="1"/>
  <c r="AA105" i="1" s="1"/>
  <c r="U104" i="1"/>
  <c r="AA104" i="1" s="1"/>
  <c r="U71" i="1"/>
  <c r="AA71" i="1" s="1"/>
  <c r="U69" i="1"/>
  <c r="AA69" i="1" s="1"/>
  <c r="U66" i="1"/>
  <c r="AA66" i="1" s="1"/>
  <c r="U62" i="1"/>
  <c r="AA62" i="1" s="1"/>
  <c r="U57" i="1"/>
  <c r="AA57" i="1" s="1"/>
  <c r="U49" i="1"/>
  <c r="AA49" i="1" s="1"/>
  <c r="U44" i="1"/>
  <c r="AA44" i="1" s="1"/>
  <c r="U35" i="1"/>
  <c r="AA35" i="1" s="1"/>
  <c r="U26" i="1"/>
  <c r="AA26" i="1" s="1"/>
  <c r="U22" i="1"/>
  <c r="AA22" i="1" s="1"/>
  <c r="U356" i="1" l="1"/>
  <c r="U355" i="1"/>
  <c r="U352" i="1"/>
  <c r="U349" i="1"/>
  <c r="U347" i="1"/>
  <c r="U346" i="1"/>
  <c r="U345" i="1"/>
  <c r="U342" i="1"/>
  <c r="U340" i="1"/>
  <c r="U337" i="1"/>
  <c r="U336" i="1"/>
  <c r="U335" i="1"/>
  <c r="U328" i="1"/>
  <c r="U327" i="1"/>
  <c r="U325" i="1"/>
  <c r="U324" i="1"/>
  <c r="U323" i="1"/>
  <c r="U322" i="1"/>
  <c r="U320" i="1"/>
  <c r="U317" i="1"/>
  <c r="U316" i="1"/>
  <c r="U315" i="1"/>
  <c r="U312" i="1"/>
  <c r="U306" i="1"/>
  <c r="U305" i="1"/>
  <c r="U302" i="1"/>
  <c r="U301" i="1"/>
  <c r="U297" i="1"/>
  <c r="U296" i="1"/>
  <c r="U295" i="1"/>
  <c r="U294" i="1"/>
  <c r="U293" i="1"/>
  <c r="U289" i="1"/>
  <c r="U286" i="1"/>
  <c r="U283" i="1"/>
  <c r="U282" i="1"/>
  <c r="U281" i="1"/>
  <c r="U278" i="1"/>
  <c r="U274" i="1"/>
  <c r="U273" i="1"/>
  <c r="U272" i="1"/>
  <c r="U270" i="1"/>
  <c r="U268" i="1"/>
  <c r="U266" i="1"/>
  <c r="U265" i="1"/>
  <c r="U263" i="1"/>
  <c r="U261" i="1"/>
  <c r="U258" i="1"/>
  <c r="U252" i="1"/>
  <c r="U250" i="1"/>
  <c r="U248" i="1"/>
  <c r="U246" i="1"/>
  <c r="U245" i="1"/>
  <c r="U243" i="1"/>
  <c r="U241" i="1"/>
  <c r="U239" i="1"/>
  <c r="U237" i="1"/>
  <c r="U236" i="1"/>
  <c r="U232" i="1"/>
  <c r="U229" i="1"/>
  <c r="U228" i="1"/>
  <c r="U223" i="1"/>
  <c r="U221" i="1"/>
  <c r="U220" i="1"/>
  <c r="U218" i="1"/>
  <c r="U217" i="1"/>
  <c r="U215" i="1"/>
  <c r="U212" i="1"/>
  <c r="U209" i="1"/>
  <c r="U208" i="1"/>
  <c r="U205" i="1"/>
  <c r="U204" i="1"/>
  <c r="U202" i="1"/>
  <c r="U199" i="1"/>
  <c r="U197" i="1"/>
  <c r="U193" i="1"/>
  <c r="U192" i="1"/>
  <c r="U191" i="1"/>
  <c r="U187" i="1"/>
  <c r="U186" i="1"/>
  <c r="U184" i="1"/>
  <c r="U182" i="1"/>
  <c r="U181" i="1"/>
  <c r="U180" i="1"/>
  <c r="U179" i="1"/>
  <c r="U176" i="1"/>
  <c r="U175" i="1"/>
  <c r="U174" i="1"/>
  <c r="U173" i="1"/>
  <c r="U172" i="1"/>
  <c r="U170" i="1"/>
  <c r="U167" i="1"/>
  <c r="U166" i="1"/>
  <c r="U164" i="1"/>
  <c r="U163" i="1"/>
  <c r="U162" i="1"/>
  <c r="U158" i="1"/>
  <c r="U157" i="1"/>
  <c r="U155" i="1"/>
  <c r="U154" i="1"/>
  <c r="U147" i="1"/>
  <c r="U141" i="1"/>
  <c r="U140" i="1"/>
  <c r="U138" i="1"/>
  <c r="U136" i="1"/>
  <c r="U134" i="1"/>
  <c r="U131" i="1"/>
  <c r="U128" i="1"/>
  <c r="U127" i="1"/>
  <c r="U124" i="1"/>
  <c r="U123" i="1"/>
  <c r="U122" i="1"/>
  <c r="U121" i="1"/>
  <c r="U120" i="1"/>
  <c r="U116" i="1"/>
  <c r="U113" i="1"/>
  <c r="U112" i="1"/>
  <c r="U109" i="1"/>
  <c r="U103" i="1"/>
  <c r="U102" i="1"/>
  <c r="U101" i="1"/>
  <c r="U100" i="1"/>
  <c r="U97" i="1"/>
  <c r="U95" i="1"/>
  <c r="U93" i="1"/>
  <c r="U91" i="1"/>
  <c r="U89" i="1"/>
  <c r="U88" i="1"/>
  <c r="U85" i="1"/>
  <c r="U81" i="1"/>
  <c r="U80" i="1"/>
  <c r="U78" i="1"/>
  <c r="U77" i="1"/>
  <c r="U74" i="1"/>
  <c r="U73" i="1"/>
  <c r="U72" i="1"/>
  <c r="U68" i="1"/>
  <c r="U65" i="1"/>
  <c r="U63" i="1"/>
  <c r="U60" i="1"/>
  <c r="U58" i="1"/>
  <c r="U55" i="1"/>
  <c r="U53" i="1"/>
  <c r="U52" i="1"/>
  <c r="U50" i="1"/>
  <c r="U46" i="1"/>
  <c r="U45" i="1"/>
  <c r="U41" i="1"/>
  <c r="U39" i="1"/>
  <c r="U38" i="1"/>
  <c r="U37" i="1"/>
  <c r="U33" i="1"/>
  <c r="U31" i="1"/>
  <c r="U30" i="1"/>
  <c r="U29" i="1"/>
  <c r="U27" i="1"/>
  <c r="U23" i="1"/>
  <c r="U18" i="1"/>
  <c r="U15" i="1"/>
  <c r="U14" i="1"/>
  <c r="U12" i="1"/>
  <c r="U10" i="1"/>
  <c r="U6" i="1"/>
  <c r="U5" i="1"/>
  <c r="U3" i="1"/>
  <c r="U358" i="1"/>
  <c r="U357" i="1"/>
  <c r="U353" i="1"/>
  <c r="U351" i="1"/>
  <c r="U348" i="1"/>
  <c r="U344" i="1"/>
  <c r="U343" i="1"/>
  <c r="U341" i="1"/>
  <c r="U339" i="1"/>
  <c r="U338" i="1"/>
  <c r="U333" i="1"/>
  <c r="U332" i="1"/>
  <c r="U329" i="1"/>
  <c r="U326" i="1"/>
  <c r="U321" i="1"/>
  <c r="U319" i="1"/>
  <c r="U318" i="1"/>
  <c r="U314" i="1"/>
  <c r="U313" i="1"/>
  <c r="U311" i="1"/>
  <c r="U310" i="1"/>
  <c r="U309" i="1"/>
  <c r="U308" i="1"/>
  <c r="U303" i="1"/>
  <c r="U299" i="1"/>
  <c r="U298" i="1"/>
  <c r="U292" i="1"/>
  <c r="U291" i="1"/>
  <c r="U290" i="1"/>
  <c r="U287" i="1"/>
  <c r="U284" i="1"/>
  <c r="U279" i="1"/>
  <c r="U271" i="1"/>
  <c r="U269" i="1"/>
  <c r="U267" i="1"/>
  <c r="U264" i="1"/>
  <c r="U262" i="1"/>
  <c r="U260" i="1"/>
  <c r="U259" i="1"/>
  <c r="U251" i="1"/>
  <c r="U249" i="1"/>
  <c r="U247" i="1"/>
  <c r="U244" i="1"/>
  <c r="U242" i="1"/>
  <c r="U240" i="1"/>
  <c r="U238" i="1"/>
  <c r="U235" i="1"/>
  <c r="U230" i="1"/>
  <c r="U219" i="1"/>
  <c r="U216" i="1"/>
  <c r="U214" i="1"/>
  <c r="U213" i="1"/>
  <c r="U200" i="1"/>
  <c r="U188" i="1"/>
  <c r="U185" i="1"/>
  <c r="U183" i="1"/>
  <c r="U178" i="1"/>
  <c r="U171" i="1"/>
  <c r="U168" i="1"/>
  <c r="U165" i="1"/>
  <c r="U160" i="1"/>
  <c r="U156" i="1"/>
  <c r="U153" i="1"/>
  <c r="U148" i="1"/>
  <c r="U142" i="1"/>
  <c r="U139" i="1"/>
  <c r="U137" i="1"/>
  <c r="U135" i="1"/>
  <c r="U132" i="1"/>
  <c r="U129" i="1"/>
  <c r="U125" i="1"/>
  <c r="U119" i="1"/>
  <c r="U117" i="1"/>
  <c r="U114" i="1"/>
  <c r="U111" i="1"/>
  <c r="U110" i="1"/>
  <c r="U107" i="1"/>
  <c r="U106" i="1"/>
  <c r="U99" i="1"/>
  <c r="U98" i="1"/>
  <c r="U96" i="1"/>
  <c r="U94" i="1"/>
  <c r="U92" i="1"/>
  <c r="U90" i="1"/>
  <c r="U87" i="1"/>
  <c r="U86" i="1"/>
  <c r="U84" i="1"/>
  <c r="U82" i="1"/>
  <c r="U79" i="1"/>
  <c r="U76" i="1"/>
  <c r="U75" i="1"/>
  <c r="U70" i="1"/>
  <c r="U67" i="1"/>
  <c r="U64" i="1"/>
  <c r="U61" i="1"/>
  <c r="U59" i="1"/>
  <c r="U56" i="1"/>
  <c r="U54" i="1"/>
  <c r="U51" i="1"/>
  <c r="U48" i="1"/>
  <c r="U47" i="1"/>
  <c r="U43" i="1"/>
  <c r="U42" i="1"/>
  <c r="U40" i="1"/>
  <c r="U36" i="1"/>
  <c r="U34" i="1"/>
  <c r="U32" i="1"/>
  <c r="U28" i="1"/>
  <c r="U25" i="1"/>
  <c r="U24" i="1"/>
  <c r="U20" i="1"/>
  <c r="U19" i="1"/>
  <c r="U17" i="1"/>
  <c r="U13" i="1"/>
  <c r="U11" i="1"/>
  <c r="U9" i="1"/>
  <c r="U8" i="1"/>
  <c r="U7" i="1"/>
  <c r="U4" i="1"/>
  <c r="U359" i="1" l="1"/>
  <c r="T349" i="1"/>
  <c r="S349" i="1"/>
  <c r="R349" i="1"/>
  <c r="Q349" i="1"/>
  <c r="P349" i="1"/>
  <c r="O349" i="1"/>
  <c r="AA349" i="1" l="1"/>
  <c r="T351" i="1"/>
  <c r="S351" i="1"/>
  <c r="R351" i="1"/>
  <c r="Q351" i="1"/>
  <c r="P351" i="1"/>
  <c r="O351" i="1"/>
  <c r="T348" i="1"/>
  <c r="S348" i="1"/>
  <c r="R348" i="1"/>
  <c r="Q348" i="1"/>
  <c r="P348" i="1"/>
  <c r="O348" i="1"/>
  <c r="T347" i="1"/>
  <c r="S347" i="1"/>
  <c r="R347" i="1"/>
  <c r="Q347" i="1"/>
  <c r="P347" i="1"/>
  <c r="O347" i="1"/>
  <c r="T346" i="1"/>
  <c r="S346" i="1"/>
  <c r="R346" i="1"/>
  <c r="Q346" i="1"/>
  <c r="P346" i="1"/>
  <c r="O346" i="1"/>
  <c r="T345" i="1"/>
  <c r="S345" i="1"/>
  <c r="R345" i="1"/>
  <c r="Q345" i="1"/>
  <c r="P345" i="1"/>
  <c r="O345" i="1"/>
  <c r="T341" i="1"/>
  <c r="S341" i="1"/>
  <c r="R341" i="1"/>
  <c r="Q341" i="1"/>
  <c r="P341" i="1"/>
  <c r="O341" i="1"/>
  <c r="T340" i="1"/>
  <c r="S340" i="1"/>
  <c r="R340" i="1"/>
  <c r="Q340" i="1"/>
  <c r="P340" i="1"/>
  <c r="O340" i="1"/>
  <c r="AA347" i="1" l="1"/>
  <c r="AA341" i="1"/>
  <c r="AA348" i="1"/>
  <c r="AA351" i="1"/>
  <c r="AA345" i="1"/>
  <c r="AA340" i="1"/>
  <c r="AA346" i="1"/>
  <c r="T155" i="1"/>
  <c r="S155" i="1"/>
  <c r="R155" i="1"/>
  <c r="Q155" i="1"/>
  <c r="P155" i="1"/>
  <c r="O155" i="1"/>
  <c r="T191" i="1"/>
  <c r="S191" i="1"/>
  <c r="R191" i="1"/>
  <c r="Q191" i="1"/>
  <c r="P191" i="1"/>
  <c r="O191" i="1"/>
  <c r="T154" i="1"/>
  <c r="S154" i="1"/>
  <c r="R154" i="1"/>
  <c r="Q154" i="1"/>
  <c r="P154" i="1"/>
  <c r="O154" i="1"/>
  <c r="AA191" i="1" l="1"/>
  <c r="AA154" i="1"/>
  <c r="AA155" i="1"/>
  <c r="T272" i="1"/>
  <c r="S272" i="1"/>
  <c r="R272" i="1"/>
  <c r="Q272" i="1"/>
  <c r="P272" i="1"/>
  <c r="O272" i="1"/>
  <c r="AA272" i="1" l="1"/>
  <c r="T358" i="1"/>
  <c r="S358" i="1"/>
  <c r="R358" i="1"/>
  <c r="Q358" i="1"/>
  <c r="P358" i="1"/>
  <c r="T357" i="1"/>
  <c r="S357" i="1"/>
  <c r="R357" i="1"/>
  <c r="Q357" i="1"/>
  <c r="P357" i="1"/>
  <c r="T353" i="1"/>
  <c r="S353" i="1"/>
  <c r="R353" i="1"/>
  <c r="Q353" i="1"/>
  <c r="P353" i="1"/>
  <c r="T344" i="1"/>
  <c r="S344" i="1"/>
  <c r="R344" i="1"/>
  <c r="Q344" i="1"/>
  <c r="P344" i="1"/>
  <c r="T343" i="1"/>
  <c r="S343" i="1"/>
  <c r="R343" i="1"/>
  <c r="Q343" i="1"/>
  <c r="P343" i="1"/>
  <c r="T339" i="1"/>
  <c r="S339" i="1"/>
  <c r="R339" i="1"/>
  <c r="Q339" i="1"/>
  <c r="P339" i="1"/>
  <c r="T338" i="1"/>
  <c r="S338" i="1"/>
  <c r="R338" i="1"/>
  <c r="Q338" i="1"/>
  <c r="P338" i="1"/>
  <c r="T333" i="1"/>
  <c r="S333" i="1"/>
  <c r="R333" i="1"/>
  <c r="Q333" i="1"/>
  <c r="P333" i="1"/>
  <c r="T332" i="1"/>
  <c r="S332" i="1"/>
  <c r="R332" i="1"/>
  <c r="Q332" i="1"/>
  <c r="P332" i="1"/>
  <c r="T329" i="1"/>
  <c r="S329" i="1"/>
  <c r="R329" i="1"/>
  <c r="Q329" i="1"/>
  <c r="P329" i="1"/>
  <c r="T326" i="1"/>
  <c r="S326" i="1"/>
  <c r="R326" i="1"/>
  <c r="Q326" i="1"/>
  <c r="P326" i="1"/>
  <c r="T321" i="1"/>
  <c r="S321" i="1"/>
  <c r="R321" i="1"/>
  <c r="Q321" i="1"/>
  <c r="P321" i="1"/>
  <c r="T319" i="1"/>
  <c r="S319" i="1"/>
  <c r="R319" i="1"/>
  <c r="Q319" i="1"/>
  <c r="P319" i="1"/>
  <c r="T318" i="1"/>
  <c r="S318" i="1"/>
  <c r="R318" i="1"/>
  <c r="Q318" i="1"/>
  <c r="P318" i="1"/>
  <c r="T314" i="1"/>
  <c r="S314" i="1"/>
  <c r="R314" i="1"/>
  <c r="Q314" i="1"/>
  <c r="P314" i="1"/>
  <c r="T313" i="1"/>
  <c r="S313" i="1"/>
  <c r="R313" i="1"/>
  <c r="Q313" i="1"/>
  <c r="P313" i="1"/>
  <c r="T311" i="1"/>
  <c r="S311" i="1"/>
  <c r="R311" i="1"/>
  <c r="Q311" i="1"/>
  <c r="P311" i="1"/>
  <c r="T310" i="1"/>
  <c r="S310" i="1"/>
  <c r="R310" i="1"/>
  <c r="Q310" i="1"/>
  <c r="P310" i="1"/>
  <c r="T309" i="1"/>
  <c r="S309" i="1"/>
  <c r="R309" i="1"/>
  <c r="Q309" i="1"/>
  <c r="P309" i="1"/>
  <c r="T308" i="1"/>
  <c r="S308" i="1"/>
  <c r="R308" i="1"/>
  <c r="Q308" i="1"/>
  <c r="P308" i="1"/>
  <c r="T303" i="1"/>
  <c r="S303" i="1"/>
  <c r="R303" i="1"/>
  <c r="Q303" i="1"/>
  <c r="P303" i="1"/>
  <c r="T299" i="1"/>
  <c r="S299" i="1"/>
  <c r="R299" i="1"/>
  <c r="Q299" i="1"/>
  <c r="P299" i="1"/>
  <c r="T298" i="1"/>
  <c r="S298" i="1"/>
  <c r="R298" i="1"/>
  <c r="Q298" i="1"/>
  <c r="P298" i="1"/>
  <c r="T292" i="1"/>
  <c r="S292" i="1"/>
  <c r="R292" i="1"/>
  <c r="Q292" i="1"/>
  <c r="P292" i="1"/>
  <c r="T291" i="1"/>
  <c r="S291" i="1"/>
  <c r="R291" i="1"/>
  <c r="Q291" i="1"/>
  <c r="P291" i="1"/>
  <c r="T290" i="1"/>
  <c r="S290" i="1"/>
  <c r="R290" i="1"/>
  <c r="Q290" i="1"/>
  <c r="P290" i="1"/>
  <c r="T287" i="1"/>
  <c r="S287" i="1"/>
  <c r="R287" i="1"/>
  <c r="Q287" i="1"/>
  <c r="P287" i="1"/>
  <c r="T284" i="1"/>
  <c r="S284" i="1"/>
  <c r="R284" i="1"/>
  <c r="Q284" i="1"/>
  <c r="P284" i="1"/>
  <c r="T279" i="1"/>
  <c r="S279" i="1"/>
  <c r="R279" i="1"/>
  <c r="Q279" i="1"/>
  <c r="P279" i="1"/>
  <c r="T271" i="1"/>
  <c r="S271" i="1"/>
  <c r="R271" i="1"/>
  <c r="Q271" i="1"/>
  <c r="P271" i="1"/>
  <c r="T269" i="1"/>
  <c r="S269" i="1"/>
  <c r="R269" i="1"/>
  <c r="Q269" i="1"/>
  <c r="P269" i="1"/>
  <c r="T267" i="1"/>
  <c r="S267" i="1"/>
  <c r="R267" i="1"/>
  <c r="Q267" i="1"/>
  <c r="P267" i="1"/>
  <c r="T264" i="1"/>
  <c r="S264" i="1"/>
  <c r="R264" i="1"/>
  <c r="Q264" i="1"/>
  <c r="P264" i="1"/>
  <c r="T262" i="1"/>
  <c r="S262" i="1"/>
  <c r="R262" i="1"/>
  <c r="Q262" i="1"/>
  <c r="P262" i="1"/>
  <c r="T260" i="1"/>
  <c r="S260" i="1"/>
  <c r="R260" i="1"/>
  <c r="Q260" i="1"/>
  <c r="P260" i="1"/>
  <c r="T259" i="1"/>
  <c r="S259" i="1"/>
  <c r="R259" i="1"/>
  <c r="Q259" i="1"/>
  <c r="P259" i="1"/>
  <c r="T251" i="1"/>
  <c r="S251" i="1"/>
  <c r="R251" i="1"/>
  <c r="Q251" i="1"/>
  <c r="P251" i="1"/>
  <c r="T249" i="1"/>
  <c r="S249" i="1"/>
  <c r="R249" i="1"/>
  <c r="Q249" i="1"/>
  <c r="P249" i="1"/>
  <c r="T247" i="1"/>
  <c r="S247" i="1"/>
  <c r="R247" i="1"/>
  <c r="Q247" i="1"/>
  <c r="P247" i="1"/>
  <c r="T244" i="1"/>
  <c r="S244" i="1"/>
  <c r="R244" i="1"/>
  <c r="Q244" i="1"/>
  <c r="P244" i="1"/>
  <c r="T242" i="1"/>
  <c r="S242" i="1"/>
  <c r="R242" i="1"/>
  <c r="Q242" i="1"/>
  <c r="P242" i="1"/>
  <c r="T240" i="1"/>
  <c r="S240" i="1"/>
  <c r="R240" i="1"/>
  <c r="Q240" i="1"/>
  <c r="P240" i="1"/>
  <c r="T238" i="1"/>
  <c r="S238" i="1"/>
  <c r="R238" i="1"/>
  <c r="Q238" i="1"/>
  <c r="P238" i="1"/>
  <c r="T235" i="1"/>
  <c r="S235" i="1"/>
  <c r="R235" i="1"/>
  <c r="Q235" i="1"/>
  <c r="P235" i="1"/>
  <c r="T230" i="1"/>
  <c r="S230" i="1"/>
  <c r="R230" i="1"/>
  <c r="Q230" i="1"/>
  <c r="P230" i="1"/>
  <c r="T219" i="1"/>
  <c r="S219" i="1"/>
  <c r="R219" i="1"/>
  <c r="Q219" i="1"/>
  <c r="P219" i="1"/>
  <c r="T216" i="1"/>
  <c r="S216" i="1"/>
  <c r="R216" i="1"/>
  <c r="Q216" i="1"/>
  <c r="P216" i="1"/>
  <c r="T214" i="1"/>
  <c r="S214" i="1"/>
  <c r="R214" i="1"/>
  <c r="Q214" i="1"/>
  <c r="P214" i="1"/>
  <c r="T213" i="1"/>
  <c r="S213" i="1"/>
  <c r="R213" i="1"/>
  <c r="Q213" i="1"/>
  <c r="P213" i="1"/>
  <c r="T200" i="1"/>
  <c r="S200" i="1"/>
  <c r="R200" i="1"/>
  <c r="Q200" i="1"/>
  <c r="P200" i="1"/>
  <c r="T188" i="1"/>
  <c r="S188" i="1"/>
  <c r="R188" i="1"/>
  <c r="Q188" i="1"/>
  <c r="P188" i="1"/>
  <c r="T185" i="1"/>
  <c r="S185" i="1"/>
  <c r="R185" i="1"/>
  <c r="Q185" i="1"/>
  <c r="P185" i="1"/>
  <c r="T183" i="1"/>
  <c r="S183" i="1"/>
  <c r="R183" i="1"/>
  <c r="Q183" i="1"/>
  <c r="P183" i="1"/>
  <c r="T178" i="1"/>
  <c r="S178" i="1"/>
  <c r="R178" i="1"/>
  <c r="Q178" i="1"/>
  <c r="P178" i="1"/>
  <c r="T171" i="1"/>
  <c r="S171" i="1"/>
  <c r="R171" i="1"/>
  <c r="Q171" i="1"/>
  <c r="P171" i="1"/>
  <c r="T168" i="1"/>
  <c r="S168" i="1"/>
  <c r="R168" i="1"/>
  <c r="Q168" i="1"/>
  <c r="P168" i="1"/>
  <c r="T165" i="1"/>
  <c r="S165" i="1"/>
  <c r="R165" i="1"/>
  <c r="Q165" i="1"/>
  <c r="P165" i="1"/>
  <c r="T160" i="1"/>
  <c r="S160" i="1"/>
  <c r="R160" i="1"/>
  <c r="Q160" i="1"/>
  <c r="P160" i="1"/>
  <c r="T156" i="1"/>
  <c r="S156" i="1"/>
  <c r="R156" i="1"/>
  <c r="Q156" i="1"/>
  <c r="P156" i="1"/>
  <c r="T153" i="1"/>
  <c r="S153" i="1"/>
  <c r="R153" i="1"/>
  <c r="Q153" i="1"/>
  <c r="P153" i="1"/>
  <c r="T148" i="1"/>
  <c r="S148" i="1"/>
  <c r="R148" i="1"/>
  <c r="Q148" i="1"/>
  <c r="P148" i="1"/>
  <c r="T142" i="1"/>
  <c r="S142" i="1"/>
  <c r="R142" i="1"/>
  <c r="Q142" i="1"/>
  <c r="P142" i="1"/>
  <c r="T139" i="1"/>
  <c r="S139" i="1"/>
  <c r="R139" i="1"/>
  <c r="Q139" i="1"/>
  <c r="P139" i="1"/>
  <c r="T137" i="1"/>
  <c r="S137" i="1"/>
  <c r="R137" i="1"/>
  <c r="Q137" i="1"/>
  <c r="P137" i="1"/>
  <c r="T135" i="1"/>
  <c r="S135" i="1"/>
  <c r="R135" i="1"/>
  <c r="Q135" i="1"/>
  <c r="P135" i="1"/>
  <c r="T132" i="1"/>
  <c r="S132" i="1"/>
  <c r="R132" i="1"/>
  <c r="Q132" i="1"/>
  <c r="P132" i="1"/>
  <c r="T129" i="1"/>
  <c r="S129" i="1"/>
  <c r="R129" i="1"/>
  <c r="Q129" i="1"/>
  <c r="P129" i="1"/>
  <c r="T125" i="1"/>
  <c r="S125" i="1"/>
  <c r="R125" i="1"/>
  <c r="Q125" i="1"/>
  <c r="P125" i="1"/>
  <c r="T119" i="1"/>
  <c r="S119" i="1"/>
  <c r="R119" i="1"/>
  <c r="Q119" i="1"/>
  <c r="P119" i="1"/>
  <c r="T117" i="1"/>
  <c r="S117" i="1"/>
  <c r="R117" i="1"/>
  <c r="Q117" i="1"/>
  <c r="P117" i="1"/>
  <c r="T114" i="1"/>
  <c r="S114" i="1"/>
  <c r="R114" i="1"/>
  <c r="Q114" i="1"/>
  <c r="P114" i="1"/>
  <c r="T111" i="1"/>
  <c r="S111" i="1"/>
  <c r="R111" i="1"/>
  <c r="Q111" i="1"/>
  <c r="P111" i="1"/>
  <c r="T110" i="1"/>
  <c r="S110" i="1"/>
  <c r="R110" i="1"/>
  <c r="Q110" i="1"/>
  <c r="P110" i="1"/>
  <c r="T107" i="1"/>
  <c r="S107" i="1"/>
  <c r="R107" i="1"/>
  <c r="Q107" i="1"/>
  <c r="P107" i="1"/>
  <c r="T106" i="1"/>
  <c r="S106" i="1"/>
  <c r="R106" i="1"/>
  <c r="Q106" i="1"/>
  <c r="P106" i="1"/>
  <c r="T99" i="1"/>
  <c r="S99" i="1"/>
  <c r="R99" i="1"/>
  <c r="Q99" i="1"/>
  <c r="P99" i="1"/>
  <c r="T98" i="1"/>
  <c r="S98" i="1"/>
  <c r="R98" i="1"/>
  <c r="Q98" i="1"/>
  <c r="P98" i="1"/>
  <c r="T96" i="1"/>
  <c r="S96" i="1"/>
  <c r="R96" i="1"/>
  <c r="Q96" i="1"/>
  <c r="P96" i="1"/>
  <c r="T94" i="1"/>
  <c r="S94" i="1"/>
  <c r="R94" i="1"/>
  <c r="Q94" i="1"/>
  <c r="P94" i="1"/>
  <c r="T92" i="1"/>
  <c r="S92" i="1"/>
  <c r="R92" i="1"/>
  <c r="Q92" i="1"/>
  <c r="P92" i="1"/>
  <c r="T90" i="1"/>
  <c r="S90" i="1"/>
  <c r="R90" i="1"/>
  <c r="Q90" i="1"/>
  <c r="P90" i="1"/>
  <c r="T87" i="1"/>
  <c r="S87" i="1"/>
  <c r="R87" i="1"/>
  <c r="Q87" i="1"/>
  <c r="P87" i="1"/>
  <c r="T86" i="1"/>
  <c r="S86" i="1"/>
  <c r="R86" i="1"/>
  <c r="Q86" i="1"/>
  <c r="P86" i="1"/>
  <c r="T84" i="1"/>
  <c r="S84" i="1"/>
  <c r="R84" i="1"/>
  <c r="Q84" i="1"/>
  <c r="P84" i="1"/>
  <c r="T82" i="1"/>
  <c r="S82" i="1"/>
  <c r="R82" i="1"/>
  <c r="Q82" i="1"/>
  <c r="P82" i="1"/>
  <c r="T79" i="1"/>
  <c r="S79" i="1"/>
  <c r="R79" i="1"/>
  <c r="Q79" i="1"/>
  <c r="P79" i="1"/>
  <c r="T76" i="1"/>
  <c r="S76" i="1"/>
  <c r="R76" i="1"/>
  <c r="Q76" i="1"/>
  <c r="P76" i="1"/>
  <c r="T75" i="1"/>
  <c r="S75" i="1"/>
  <c r="R75" i="1"/>
  <c r="Q75" i="1"/>
  <c r="P75" i="1"/>
  <c r="T70" i="1"/>
  <c r="S70" i="1"/>
  <c r="R70" i="1"/>
  <c r="Q70" i="1"/>
  <c r="P70" i="1"/>
  <c r="T67" i="1"/>
  <c r="S67" i="1"/>
  <c r="R67" i="1"/>
  <c r="Q67" i="1"/>
  <c r="P67" i="1"/>
  <c r="T64" i="1"/>
  <c r="S64" i="1"/>
  <c r="R64" i="1"/>
  <c r="Q64" i="1"/>
  <c r="P64" i="1"/>
  <c r="T61" i="1"/>
  <c r="S61" i="1"/>
  <c r="R61" i="1"/>
  <c r="Q61" i="1"/>
  <c r="P61" i="1"/>
  <c r="T59" i="1"/>
  <c r="S59" i="1"/>
  <c r="R59" i="1"/>
  <c r="Q59" i="1"/>
  <c r="P59" i="1"/>
  <c r="T56" i="1"/>
  <c r="S56" i="1"/>
  <c r="R56" i="1"/>
  <c r="Q56" i="1"/>
  <c r="P56" i="1"/>
  <c r="T54" i="1"/>
  <c r="S54" i="1"/>
  <c r="R54" i="1"/>
  <c r="Q54" i="1"/>
  <c r="P54" i="1"/>
  <c r="T51" i="1"/>
  <c r="S51" i="1"/>
  <c r="R51" i="1"/>
  <c r="Q51" i="1"/>
  <c r="P51" i="1"/>
  <c r="T48" i="1"/>
  <c r="S48" i="1"/>
  <c r="R48" i="1"/>
  <c r="Q48" i="1"/>
  <c r="P48" i="1"/>
  <c r="T47" i="1"/>
  <c r="S47" i="1"/>
  <c r="R47" i="1"/>
  <c r="Q47" i="1"/>
  <c r="P47" i="1"/>
  <c r="T43" i="1"/>
  <c r="S43" i="1"/>
  <c r="R43" i="1"/>
  <c r="Q43" i="1"/>
  <c r="P43" i="1"/>
  <c r="T42" i="1"/>
  <c r="S42" i="1"/>
  <c r="R42" i="1"/>
  <c r="Q42" i="1"/>
  <c r="P42" i="1"/>
  <c r="T40" i="1"/>
  <c r="S40" i="1"/>
  <c r="R40" i="1"/>
  <c r="Q40" i="1"/>
  <c r="P40" i="1"/>
  <c r="T36" i="1"/>
  <c r="S36" i="1"/>
  <c r="R36" i="1"/>
  <c r="Q36" i="1"/>
  <c r="P36" i="1"/>
  <c r="T34" i="1"/>
  <c r="S34" i="1"/>
  <c r="R34" i="1"/>
  <c r="Q34" i="1"/>
  <c r="P34" i="1"/>
  <c r="T32" i="1"/>
  <c r="S32" i="1"/>
  <c r="R32" i="1"/>
  <c r="Q32" i="1"/>
  <c r="P32" i="1"/>
  <c r="T28" i="1"/>
  <c r="S28" i="1"/>
  <c r="R28" i="1"/>
  <c r="Q28" i="1"/>
  <c r="P28" i="1"/>
  <c r="T25" i="1"/>
  <c r="S25" i="1"/>
  <c r="R25" i="1"/>
  <c r="Q25" i="1"/>
  <c r="P25" i="1"/>
  <c r="T24" i="1"/>
  <c r="S24" i="1"/>
  <c r="R24" i="1"/>
  <c r="Q24" i="1"/>
  <c r="P24" i="1"/>
  <c r="T20" i="1"/>
  <c r="S20" i="1"/>
  <c r="R20" i="1"/>
  <c r="Q20" i="1"/>
  <c r="P20" i="1"/>
  <c r="T19" i="1"/>
  <c r="S19" i="1"/>
  <c r="R19" i="1"/>
  <c r="Q19" i="1"/>
  <c r="P19" i="1"/>
  <c r="T17" i="1"/>
  <c r="S17" i="1"/>
  <c r="R17" i="1"/>
  <c r="Q17" i="1"/>
  <c r="P17" i="1"/>
  <c r="T13" i="1"/>
  <c r="S13" i="1"/>
  <c r="R13" i="1"/>
  <c r="Q13" i="1"/>
  <c r="P13" i="1"/>
  <c r="T11" i="1"/>
  <c r="S11" i="1"/>
  <c r="R11" i="1"/>
  <c r="Q11" i="1"/>
  <c r="P11" i="1"/>
  <c r="T9" i="1"/>
  <c r="S9" i="1"/>
  <c r="R9" i="1"/>
  <c r="Q9" i="1"/>
  <c r="P9" i="1"/>
  <c r="T8" i="1"/>
  <c r="S8" i="1"/>
  <c r="R8" i="1"/>
  <c r="Q8" i="1"/>
  <c r="P8" i="1"/>
  <c r="T7" i="1"/>
  <c r="S7" i="1"/>
  <c r="R7" i="1"/>
  <c r="Q7" i="1"/>
  <c r="P7" i="1"/>
  <c r="T4" i="1"/>
  <c r="S4" i="1"/>
  <c r="R4" i="1"/>
  <c r="Q4" i="1"/>
  <c r="P4" i="1"/>
  <c r="O358" i="1"/>
  <c r="O357" i="1"/>
  <c r="O353" i="1"/>
  <c r="O344" i="1"/>
  <c r="O343" i="1"/>
  <c r="O339" i="1"/>
  <c r="O338" i="1"/>
  <c r="O333" i="1"/>
  <c r="O332" i="1"/>
  <c r="O329" i="1"/>
  <c r="O326" i="1"/>
  <c r="O321" i="1"/>
  <c r="O319" i="1"/>
  <c r="O318" i="1"/>
  <c r="O314" i="1"/>
  <c r="O313" i="1"/>
  <c r="O311" i="1"/>
  <c r="O310" i="1"/>
  <c r="O309" i="1"/>
  <c r="O308" i="1"/>
  <c r="O303" i="1"/>
  <c r="O299" i="1"/>
  <c r="O298" i="1"/>
  <c r="O292" i="1"/>
  <c r="O291" i="1"/>
  <c r="O290" i="1"/>
  <c r="O287" i="1"/>
  <c r="O284" i="1"/>
  <c r="O279" i="1"/>
  <c r="O271" i="1"/>
  <c r="O269" i="1"/>
  <c r="O267" i="1"/>
  <c r="O264" i="1"/>
  <c r="O262" i="1"/>
  <c r="O260" i="1"/>
  <c r="O259" i="1"/>
  <c r="O251" i="1"/>
  <c r="O249" i="1"/>
  <c r="O247" i="1"/>
  <c r="O244" i="1"/>
  <c r="O242" i="1"/>
  <c r="O240" i="1"/>
  <c r="O238" i="1"/>
  <c r="O235" i="1"/>
  <c r="O230" i="1"/>
  <c r="O219" i="1"/>
  <c r="O216" i="1"/>
  <c r="O214" i="1"/>
  <c r="O213" i="1"/>
  <c r="O200" i="1"/>
  <c r="O188" i="1"/>
  <c r="O185" i="1"/>
  <c r="O183" i="1"/>
  <c r="O178" i="1"/>
  <c r="O171" i="1"/>
  <c r="O168" i="1"/>
  <c r="O165" i="1"/>
  <c r="O160" i="1"/>
  <c r="O156" i="1"/>
  <c r="O153" i="1"/>
  <c r="O148" i="1"/>
  <c r="O142" i="1"/>
  <c r="O139" i="1"/>
  <c r="O137" i="1"/>
  <c r="O135" i="1"/>
  <c r="O132" i="1"/>
  <c r="O129" i="1"/>
  <c r="O125" i="1"/>
  <c r="O119" i="1"/>
  <c r="O117" i="1"/>
  <c r="O114" i="1"/>
  <c r="O111" i="1"/>
  <c r="O110" i="1"/>
  <c r="O107" i="1"/>
  <c r="O106" i="1"/>
  <c r="O99" i="1"/>
  <c r="O98" i="1"/>
  <c r="O96" i="1"/>
  <c r="O94" i="1"/>
  <c r="O92" i="1"/>
  <c r="O90" i="1"/>
  <c r="O87" i="1"/>
  <c r="O86" i="1"/>
  <c r="O84" i="1"/>
  <c r="O82" i="1"/>
  <c r="O79" i="1"/>
  <c r="O76" i="1"/>
  <c r="O75" i="1"/>
  <c r="O70" i="1"/>
  <c r="O67" i="1"/>
  <c r="O64" i="1"/>
  <c r="O61" i="1"/>
  <c r="O59" i="1"/>
  <c r="O56" i="1"/>
  <c r="O54" i="1"/>
  <c r="O51" i="1"/>
  <c r="O48" i="1"/>
  <c r="O47" i="1"/>
  <c r="O43" i="1"/>
  <c r="O42" i="1"/>
  <c r="O40" i="1"/>
  <c r="O36" i="1"/>
  <c r="O34" i="1"/>
  <c r="O32" i="1"/>
  <c r="O28" i="1"/>
  <c r="O25" i="1"/>
  <c r="O24" i="1"/>
  <c r="O20" i="1"/>
  <c r="O19" i="1"/>
  <c r="O17" i="1"/>
  <c r="O13" i="1"/>
  <c r="O11" i="1"/>
  <c r="O9" i="1"/>
  <c r="O8" i="1"/>
  <c r="O7" i="1"/>
  <c r="O4" i="1"/>
  <c r="AA79" i="1" l="1"/>
  <c r="AA313" i="1"/>
  <c r="AA19" i="1"/>
  <c r="AA244" i="1"/>
  <c r="AA242" i="1"/>
  <c r="AA148" i="1"/>
  <c r="AA82" i="1"/>
  <c r="AA20" i="1"/>
  <c r="AA84" i="1"/>
  <c r="AA153" i="1"/>
  <c r="AA259" i="1"/>
  <c r="AA251" i="1"/>
  <c r="AA28" i="1"/>
  <c r="AA90" i="1"/>
  <c r="AA165" i="1"/>
  <c r="AA321" i="1"/>
  <c r="AA32" i="1"/>
  <c r="AA92" i="1"/>
  <c r="AA260" i="1"/>
  <c r="AA326" i="1"/>
  <c r="AA171" i="1"/>
  <c r="AA94" i="1"/>
  <c r="AA34" i="1"/>
  <c r="AA319" i="1"/>
  <c r="AA47" i="1"/>
  <c r="AA107" i="1"/>
  <c r="AA271" i="1"/>
  <c r="AA311" i="1"/>
  <c r="AA168" i="1"/>
  <c r="AA339" i="1"/>
  <c r="AA43" i="1"/>
  <c r="AA106" i="1"/>
  <c r="AA188" i="1"/>
  <c r="AA269" i="1"/>
  <c r="AA338" i="1"/>
  <c r="AA86" i="1"/>
  <c r="AA314" i="1"/>
  <c r="AA24" i="1"/>
  <c r="AA247" i="1"/>
  <c r="AA156" i="1"/>
  <c r="AA142" i="1"/>
  <c r="AA240" i="1"/>
  <c r="AA310" i="1"/>
  <c r="AA332" i="1"/>
  <c r="AA318" i="1"/>
  <c r="AA185" i="1"/>
  <c r="AA249" i="1"/>
  <c r="AA344" i="1"/>
  <c r="AA287" i="1"/>
  <c r="AA117" i="1"/>
  <c r="AA4" i="1"/>
  <c r="AA59" i="1"/>
  <c r="AA119" i="1"/>
  <c r="AA214" i="1"/>
  <c r="AA291" i="1"/>
  <c r="AA358" i="1"/>
  <c r="AA262" i="1"/>
  <c r="AA99" i="1"/>
  <c r="AA48" i="1"/>
  <c r="AA284" i="1"/>
  <c r="AA200" i="1"/>
  <c r="AA357" i="1"/>
  <c r="AA7" i="1"/>
  <c r="AA61" i="1"/>
  <c r="AA125" i="1"/>
  <c r="AA216" i="1"/>
  <c r="AA292" i="1"/>
  <c r="AA98" i="1"/>
  <c r="AA333" i="1"/>
  <c r="AA110" i="1"/>
  <c r="AA56" i="1"/>
  <c r="AA8" i="1"/>
  <c r="AA64" i="1"/>
  <c r="AA129" i="1"/>
  <c r="AA219" i="1"/>
  <c r="AA298" i="1"/>
  <c r="AA25" i="1"/>
  <c r="AA329" i="1"/>
  <c r="AA183" i="1"/>
  <c r="AA51" i="1"/>
  <c r="AA54" i="1"/>
  <c r="AA9" i="1"/>
  <c r="AA132" i="1"/>
  <c r="AA299" i="1"/>
  <c r="AA36" i="1"/>
  <c r="AA264" i="1"/>
  <c r="AA42" i="1"/>
  <c r="AA160" i="1"/>
  <c r="AA96" i="1"/>
  <c r="AA40" i="1"/>
  <c r="AA343" i="1"/>
  <c r="AA114" i="1"/>
  <c r="AA290" i="1"/>
  <c r="AA11" i="1"/>
  <c r="AA135" i="1"/>
  <c r="AA303" i="1"/>
  <c r="AA137" i="1"/>
  <c r="AA308" i="1"/>
  <c r="AA87" i="1"/>
  <c r="AA178" i="1"/>
  <c r="AA267" i="1"/>
  <c r="AA279" i="1"/>
  <c r="AA111" i="1"/>
  <c r="AA353" i="1"/>
  <c r="AA213" i="1"/>
  <c r="AA67" i="1"/>
  <c r="AA70" i="1"/>
  <c r="AA230" i="1"/>
  <c r="AA13" i="1"/>
  <c r="AA75" i="1"/>
  <c r="AA235" i="1"/>
  <c r="AA17" i="1"/>
  <c r="AA76" i="1"/>
  <c r="AA139" i="1"/>
  <c r="AA238" i="1"/>
  <c r="AA309" i="1"/>
  <c r="T356" i="1"/>
  <c r="T355" i="1"/>
  <c r="T352" i="1"/>
  <c r="T342" i="1"/>
  <c r="T337" i="1"/>
  <c r="T336" i="1"/>
  <c r="T335" i="1"/>
  <c r="T328" i="1"/>
  <c r="T327" i="1"/>
  <c r="T325" i="1"/>
  <c r="T324" i="1"/>
  <c r="T323" i="1"/>
  <c r="T322" i="1"/>
  <c r="T320" i="1"/>
  <c r="T317" i="1"/>
  <c r="T316" i="1"/>
  <c r="T315" i="1"/>
  <c r="T312" i="1"/>
  <c r="T306" i="1"/>
  <c r="T305" i="1"/>
  <c r="T302" i="1"/>
  <c r="T301" i="1"/>
  <c r="T297" i="1"/>
  <c r="T296" i="1"/>
  <c r="T295" i="1"/>
  <c r="T294" i="1"/>
  <c r="T293" i="1"/>
  <c r="T289" i="1"/>
  <c r="T286" i="1"/>
  <c r="T283" i="1"/>
  <c r="T282" i="1"/>
  <c r="T281" i="1"/>
  <c r="T278" i="1"/>
  <c r="T274" i="1"/>
  <c r="T273" i="1"/>
  <c r="T270" i="1"/>
  <c r="T268" i="1"/>
  <c r="T266" i="1"/>
  <c r="T265" i="1"/>
  <c r="T263" i="1"/>
  <c r="T261" i="1"/>
  <c r="T258" i="1"/>
  <c r="T252" i="1"/>
  <c r="T250" i="1"/>
  <c r="T248" i="1"/>
  <c r="T246" i="1"/>
  <c r="T245" i="1"/>
  <c r="T243" i="1"/>
  <c r="T241" i="1"/>
  <c r="T239" i="1"/>
  <c r="T237" i="1"/>
  <c r="T236" i="1"/>
  <c r="T232" i="1"/>
  <c r="T229" i="1"/>
  <c r="T228" i="1"/>
  <c r="T223" i="1"/>
  <c r="T221" i="1"/>
  <c r="T220" i="1"/>
  <c r="T218" i="1"/>
  <c r="T217" i="1"/>
  <c r="T215" i="1"/>
  <c r="T212" i="1"/>
  <c r="T209" i="1"/>
  <c r="T208" i="1"/>
  <c r="T205" i="1"/>
  <c r="T204" i="1"/>
  <c r="T202" i="1"/>
  <c r="T199" i="1"/>
  <c r="T197" i="1"/>
  <c r="T193" i="1"/>
  <c r="T192" i="1"/>
  <c r="T187" i="1"/>
  <c r="T186" i="1"/>
  <c r="T184" i="1"/>
  <c r="T182" i="1"/>
  <c r="T181" i="1"/>
  <c r="T180" i="1"/>
  <c r="T179" i="1"/>
  <c r="T176" i="1"/>
  <c r="T175" i="1"/>
  <c r="T174" i="1"/>
  <c r="T173" i="1"/>
  <c r="T172" i="1"/>
  <c r="T170" i="1"/>
  <c r="T167" i="1"/>
  <c r="T166" i="1"/>
  <c r="T164" i="1"/>
  <c r="T163" i="1"/>
  <c r="T162" i="1"/>
  <c r="T158" i="1"/>
  <c r="T157" i="1"/>
  <c r="T147" i="1"/>
  <c r="T141" i="1"/>
  <c r="T140" i="1"/>
  <c r="T138" i="1"/>
  <c r="T136" i="1"/>
  <c r="T134" i="1"/>
  <c r="T131" i="1"/>
  <c r="T128" i="1"/>
  <c r="T127" i="1"/>
  <c r="T124" i="1"/>
  <c r="T123" i="1"/>
  <c r="T122" i="1"/>
  <c r="T121" i="1"/>
  <c r="T120" i="1"/>
  <c r="T116" i="1"/>
  <c r="T113" i="1"/>
  <c r="T112" i="1"/>
  <c r="T109" i="1"/>
  <c r="T103" i="1"/>
  <c r="T102" i="1"/>
  <c r="T101" i="1"/>
  <c r="T100" i="1"/>
  <c r="T97" i="1"/>
  <c r="T95" i="1"/>
  <c r="T93" i="1"/>
  <c r="T91" i="1"/>
  <c r="T89" i="1"/>
  <c r="T88" i="1"/>
  <c r="T85" i="1"/>
  <c r="T81" i="1"/>
  <c r="T80" i="1"/>
  <c r="T78" i="1"/>
  <c r="T77" i="1"/>
  <c r="T74" i="1"/>
  <c r="T73" i="1"/>
  <c r="T72" i="1"/>
  <c r="T68" i="1"/>
  <c r="T65" i="1"/>
  <c r="T63" i="1"/>
  <c r="T60" i="1"/>
  <c r="T58" i="1"/>
  <c r="T55" i="1"/>
  <c r="T53" i="1"/>
  <c r="T52" i="1"/>
  <c r="T50" i="1"/>
  <c r="T46" i="1"/>
  <c r="T45" i="1"/>
  <c r="T41" i="1"/>
  <c r="T39" i="1"/>
  <c r="T38" i="1"/>
  <c r="T37" i="1"/>
  <c r="T33" i="1"/>
  <c r="T31" i="1"/>
  <c r="T30" i="1"/>
  <c r="T29" i="1"/>
  <c r="T27" i="1"/>
  <c r="T23" i="1"/>
  <c r="T18" i="1"/>
  <c r="T15" i="1"/>
  <c r="T14" i="1"/>
  <c r="T12" i="1"/>
  <c r="T10" i="1"/>
  <c r="T6" i="1"/>
  <c r="T5" i="1"/>
  <c r="T3" i="1"/>
  <c r="S356" i="1"/>
  <c r="S355" i="1"/>
  <c r="S352" i="1"/>
  <c r="S342" i="1"/>
  <c r="S337" i="1"/>
  <c r="S336" i="1"/>
  <c r="S335" i="1"/>
  <c r="S328" i="1"/>
  <c r="S327" i="1"/>
  <c r="S325" i="1"/>
  <c r="S324" i="1"/>
  <c r="S323" i="1"/>
  <c r="S322" i="1"/>
  <c r="S320" i="1"/>
  <c r="S317" i="1"/>
  <c r="S316" i="1"/>
  <c r="S315" i="1"/>
  <c r="S312" i="1"/>
  <c r="S306" i="1"/>
  <c r="S305" i="1"/>
  <c r="S302" i="1"/>
  <c r="S301" i="1"/>
  <c r="S297" i="1"/>
  <c r="S296" i="1"/>
  <c r="S295" i="1"/>
  <c r="S294" i="1"/>
  <c r="S293" i="1"/>
  <c r="S289" i="1"/>
  <c r="S286" i="1"/>
  <c r="S283" i="1"/>
  <c r="S282" i="1"/>
  <c r="S281" i="1"/>
  <c r="S278" i="1"/>
  <c r="S274" i="1"/>
  <c r="S273" i="1"/>
  <c r="S270" i="1"/>
  <c r="S268" i="1"/>
  <c r="S266" i="1"/>
  <c r="S265" i="1"/>
  <c r="S263" i="1"/>
  <c r="S261" i="1"/>
  <c r="S258" i="1"/>
  <c r="S252" i="1"/>
  <c r="S250" i="1"/>
  <c r="S248" i="1"/>
  <c r="S246" i="1"/>
  <c r="S245" i="1"/>
  <c r="S243" i="1"/>
  <c r="S241" i="1"/>
  <c r="S239" i="1"/>
  <c r="S237" i="1"/>
  <c r="S236" i="1"/>
  <c r="S232" i="1"/>
  <c r="S229" i="1"/>
  <c r="S228" i="1"/>
  <c r="S223" i="1"/>
  <c r="S221" i="1"/>
  <c r="S220" i="1"/>
  <c r="S218" i="1"/>
  <c r="S217" i="1"/>
  <c r="S215" i="1"/>
  <c r="S212" i="1"/>
  <c r="S209" i="1"/>
  <c r="S208" i="1"/>
  <c r="S205" i="1"/>
  <c r="S204" i="1"/>
  <c r="S202" i="1"/>
  <c r="S199" i="1"/>
  <c r="S197" i="1"/>
  <c r="S193" i="1"/>
  <c r="S192" i="1"/>
  <c r="S187" i="1"/>
  <c r="S186" i="1"/>
  <c r="S184" i="1"/>
  <c r="S182" i="1"/>
  <c r="S181" i="1"/>
  <c r="S180" i="1"/>
  <c r="S179" i="1"/>
  <c r="S176" i="1"/>
  <c r="S175" i="1"/>
  <c r="S174" i="1"/>
  <c r="S173" i="1"/>
  <c r="S172" i="1"/>
  <c r="S170" i="1"/>
  <c r="S167" i="1"/>
  <c r="S166" i="1"/>
  <c r="S164" i="1"/>
  <c r="S163" i="1"/>
  <c r="S162" i="1"/>
  <c r="S158" i="1"/>
  <c r="S157" i="1"/>
  <c r="S147" i="1"/>
  <c r="S141" i="1"/>
  <c r="S140" i="1"/>
  <c r="S138" i="1"/>
  <c r="S136" i="1"/>
  <c r="S134" i="1"/>
  <c r="S131" i="1"/>
  <c r="S128" i="1"/>
  <c r="S127" i="1"/>
  <c r="S124" i="1"/>
  <c r="S123" i="1"/>
  <c r="S122" i="1"/>
  <c r="S121" i="1"/>
  <c r="S120" i="1"/>
  <c r="S116" i="1"/>
  <c r="S113" i="1"/>
  <c r="S112" i="1"/>
  <c r="S109" i="1"/>
  <c r="S103" i="1"/>
  <c r="S102" i="1"/>
  <c r="S101" i="1"/>
  <c r="S100" i="1"/>
  <c r="S97" i="1"/>
  <c r="S95" i="1"/>
  <c r="S93" i="1"/>
  <c r="S91" i="1"/>
  <c r="S89" i="1"/>
  <c r="S88" i="1"/>
  <c r="S85" i="1"/>
  <c r="S81" i="1"/>
  <c r="S80" i="1"/>
  <c r="S78" i="1"/>
  <c r="S77" i="1"/>
  <c r="S74" i="1"/>
  <c r="S73" i="1"/>
  <c r="S72" i="1"/>
  <c r="S68" i="1"/>
  <c r="S65" i="1"/>
  <c r="S63" i="1"/>
  <c r="S60" i="1"/>
  <c r="S58" i="1"/>
  <c r="S55" i="1"/>
  <c r="S53" i="1"/>
  <c r="S52" i="1"/>
  <c r="S50" i="1"/>
  <c r="S46" i="1"/>
  <c r="S45" i="1"/>
  <c r="S41" i="1"/>
  <c r="S39" i="1"/>
  <c r="S38" i="1"/>
  <c r="S37" i="1"/>
  <c r="S33" i="1"/>
  <c r="S31" i="1"/>
  <c r="S30" i="1"/>
  <c r="S29" i="1"/>
  <c r="S27" i="1"/>
  <c r="S23" i="1"/>
  <c r="S18" i="1"/>
  <c r="S15" i="1"/>
  <c r="S14" i="1"/>
  <c r="S12" i="1"/>
  <c r="S10" i="1"/>
  <c r="S6" i="1"/>
  <c r="S5" i="1"/>
  <c r="S3" i="1"/>
  <c r="S2" i="1"/>
  <c r="R356" i="1"/>
  <c r="R355" i="1"/>
  <c r="R352" i="1"/>
  <c r="R342" i="1"/>
  <c r="R337" i="1"/>
  <c r="R336" i="1"/>
  <c r="R335" i="1"/>
  <c r="R328" i="1"/>
  <c r="R327" i="1"/>
  <c r="R325" i="1"/>
  <c r="R324" i="1"/>
  <c r="R323" i="1"/>
  <c r="R322" i="1"/>
  <c r="R320" i="1"/>
  <c r="R317" i="1"/>
  <c r="R316" i="1"/>
  <c r="R315" i="1"/>
  <c r="R312" i="1"/>
  <c r="R306" i="1"/>
  <c r="R305" i="1"/>
  <c r="R302" i="1"/>
  <c r="R301" i="1"/>
  <c r="R297" i="1"/>
  <c r="R296" i="1"/>
  <c r="R295" i="1"/>
  <c r="R294" i="1"/>
  <c r="R293" i="1"/>
  <c r="R289" i="1"/>
  <c r="R286" i="1"/>
  <c r="R283" i="1"/>
  <c r="R282" i="1"/>
  <c r="R281" i="1"/>
  <c r="R278" i="1"/>
  <c r="R274" i="1"/>
  <c r="R273" i="1"/>
  <c r="R270" i="1"/>
  <c r="R268" i="1"/>
  <c r="R266" i="1"/>
  <c r="R265" i="1"/>
  <c r="R263" i="1"/>
  <c r="R261" i="1"/>
  <c r="R258" i="1"/>
  <c r="R252" i="1"/>
  <c r="R250" i="1"/>
  <c r="R248" i="1"/>
  <c r="R246" i="1"/>
  <c r="R245" i="1"/>
  <c r="R243" i="1"/>
  <c r="R241" i="1"/>
  <c r="R239" i="1"/>
  <c r="R237" i="1"/>
  <c r="R236" i="1"/>
  <c r="R232" i="1"/>
  <c r="R229" i="1"/>
  <c r="R228" i="1"/>
  <c r="R223" i="1"/>
  <c r="R221" i="1"/>
  <c r="R220" i="1"/>
  <c r="R218" i="1"/>
  <c r="R217" i="1"/>
  <c r="R215" i="1"/>
  <c r="R212" i="1"/>
  <c r="R209" i="1"/>
  <c r="R208" i="1"/>
  <c r="R205" i="1"/>
  <c r="R204" i="1"/>
  <c r="R202" i="1"/>
  <c r="R199" i="1"/>
  <c r="R197" i="1"/>
  <c r="R193" i="1"/>
  <c r="R192" i="1"/>
  <c r="R187" i="1"/>
  <c r="R186" i="1"/>
  <c r="R184" i="1"/>
  <c r="R182" i="1"/>
  <c r="R181" i="1"/>
  <c r="R180" i="1"/>
  <c r="R179" i="1"/>
  <c r="R176" i="1"/>
  <c r="R175" i="1"/>
  <c r="R174" i="1"/>
  <c r="R173" i="1"/>
  <c r="R172" i="1"/>
  <c r="R170" i="1"/>
  <c r="R167" i="1"/>
  <c r="R166" i="1"/>
  <c r="R164" i="1"/>
  <c r="R163" i="1"/>
  <c r="R162" i="1"/>
  <c r="R158" i="1"/>
  <c r="R157" i="1"/>
  <c r="R147" i="1"/>
  <c r="R141" i="1"/>
  <c r="R140" i="1"/>
  <c r="R138" i="1"/>
  <c r="R136" i="1"/>
  <c r="R134" i="1"/>
  <c r="R131" i="1"/>
  <c r="R128" i="1"/>
  <c r="R127" i="1"/>
  <c r="R124" i="1"/>
  <c r="R123" i="1"/>
  <c r="R122" i="1"/>
  <c r="R121" i="1"/>
  <c r="R120" i="1"/>
  <c r="R116" i="1"/>
  <c r="R113" i="1"/>
  <c r="R112" i="1"/>
  <c r="R109" i="1"/>
  <c r="R103" i="1"/>
  <c r="R102" i="1"/>
  <c r="R101" i="1"/>
  <c r="R100" i="1"/>
  <c r="R97" i="1"/>
  <c r="R95" i="1"/>
  <c r="R93" i="1"/>
  <c r="R91" i="1"/>
  <c r="R89" i="1"/>
  <c r="R88" i="1"/>
  <c r="R85" i="1"/>
  <c r="R81" i="1"/>
  <c r="R80" i="1"/>
  <c r="R78" i="1"/>
  <c r="R77" i="1"/>
  <c r="R74" i="1"/>
  <c r="R73" i="1"/>
  <c r="R72" i="1"/>
  <c r="R68" i="1"/>
  <c r="R65" i="1"/>
  <c r="R63" i="1"/>
  <c r="R60" i="1"/>
  <c r="R58" i="1"/>
  <c r="R55" i="1"/>
  <c r="R53" i="1"/>
  <c r="R52" i="1"/>
  <c r="R50" i="1"/>
  <c r="R46" i="1"/>
  <c r="R45" i="1"/>
  <c r="R41" i="1"/>
  <c r="R39" i="1"/>
  <c r="R38" i="1"/>
  <c r="R37" i="1"/>
  <c r="R33" i="1"/>
  <c r="R31" i="1"/>
  <c r="R30" i="1"/>
  <c r="R29" i="1"/>
  <c r="R27" i="1"/>
  <c r="R23" i="1"/>
  <c r="R18" i="1"/>
  <c r="R15" i="1"/>
  <c r="R14" i="1"/>
  <c r="R12" i="1"/>
  <c r="R10" i="1"/>
  <c r="R6" i="1"/>
  <c r="R5" i="1"/>
  <c r="R3" i="1"/>
  <c r="R2" i="1"/>
  <c r="Q356" i="1"/>
  <c r="Q355" i="1"/>
  <c r="Q352" i="1"/>
  <c r="Q342" i="1"/>
  <c r="Q337" i="1"/>
  <c r="Q336" i="1"/>
  <c r="Q335" i="1"/>
  <c r="Q328" i="1"/>
  <c r="Q327" i="1"/>
  <c r="Q325" i="1"/>
  <c r="Q324" i="1"/>
  <c r="Q323" i="1"/>
  <c r="Q322" i="1"/>
  <c r="Q320" i="1"/>
  <c r="Q317" i="1"/>
  <c r="Q316" i="1"/>
  <c r="Q315" i="1"/>
  <c r="Q312" i="1"/>
  <c r="Q306" i="1"/>
  <c r="Q305" i="1"/>
  <c r="Q302" i="1"/>
  <c r="Q301" i="1"/>
  <c r="Q297" i="1"/>
  <c r="Q296" i="1"/>
  <c r="Q295" i="1"/>
  <c r="Q294" i="1"/>
  <c r="Q293" i="1"/>
  <c r="Q289" i="1"/>
  <c r="Q286" i="1"/>
  <c r="Q283" i="1"/>
  <c r="Q282" i="1"/>
  <c r="Q281" i="1"/>
  <c r="Q278" i="1"/>
  <c r="Q274" i="1"/>
  <c r="Q273" i="1"/>
  <c r="Q270" i="1"/>
  <c r="Q268" i="1"/>
  <c r="Q266" i="1"/>
  <c r="Q265" i="1"/>
  <c r="Q263" i="1"/>
  <c r="Q261" i="1"/>
  <c r="Q258" i="1"/>
  <c r="Q252" i="1"/>
  <c r="Q250" i="1"/>
  <c r="Q248" i="1"/>
  <c r="Q246" i="1"/>
  <c r="Q245" i="1"/>
  <c r="Q243" i="1"/>
  <c r="Q241" i="1"/>
  <c r="Q239" i="1"/>
  <c r="Q237" i="1"/>
  <c r="Q236" i="1"/>
  <c r="Q232" i="1"/>
  <c r="Q229" i="1"/>
  <c r="Q228" i="1"/>
  <c r="Q223" i="1"/>
  <c r="Q221" i="1"/>
  <c r="Q220" i="1"/>
  <c r="Q218" i="1"/>
  <c r="Q217" i="1"/>
  <c r="Q215" i="1"/>
  <c r="Q212" i="1"/>
  <c r="Q209" i="1"/>
  <c r="Q208" i="1"/>
  <c r="Q205" i="1"/>
  <c r="Q204" i="1"/>
  <c r="Q202" i="1"/>
  <c r="Q199" i="1"/>
  <c r="Q197" i="1"/>
  <c r="Q193" i="1"/>
  <c r="Q192" i="1"/>
  <c r="Q187" i="1"/>
  <c r="Q186" i="1"/>
  <c r="Q184" i="1"/>
  <c r="Q182" i="1"/>
  <c r="Q181" i="1"/>
  <c r="Q180" i="1"/>
  <c r="Q179" i="1"/>
  <c r="Q176" i="1"/>
  <c r="Q175" i="1"/>
  <c r="Q174" i="1"/>
  <c r="Q173" i="1"/>
  <c r="Q172" i="1"/>
  <c r="Q170" i="1"/>
  <c r="Q167" i="1"/>
  <c r="Q166" i="1"/>
  <c r="Q164" i="1"/>
  <c r="Q163" i="1"/>
  <c r="Q162" i="1"/>
  <c r="Q158" i="1"/>
  <c r="Q157" i="1"/>
  <c r="Q147" i="1"/>
  <c r="Q141" i="1"/>
  <c r="Q140" i="1"/>
  <c r="Q138" i="1"/>
  <c r="Q136" i="1"/>
  <c r="Q134" i="1"/>
  <c r="Q131" i="1"/>
  <c r="Q128" i="1"/>
  <c r="Q127" i="1"/>
  <c r="Q124" i="1"/>
  <c r="Q123" i="1"/>
  <c r="Q122" i="1"/>
  <c r="Q121" i="1"/>
  <c r="Q120" i="1"/>
  <c r="Q116" i="1"/>
  <c r="Q113" i="1"/>
  <c r="Q112" i="1"/>
  <c r="Q109" i="1"/>
  <c r="Q103" i="1"/>
  <c r="Q102" i="1"/>
  <c r="Q101" i="1"/>
  <c r="Q100" i="1"/>
  <c r="Q97" i="1"/>
  <c r="Q95" i="1"/>
  <c r="Q93" i="1"/>
  <c r="Q91" i="1"/>
  <c r="Q89" i="1"/>
  <c r="Q88" i="1"/>
  <c r="Q85" i="1"/>
  <c r="Q81" i="1"/>
  <c r="Q80" i="1"/>
  <c r="Q78" i="1"/>
  <c r="Q77" i="1"/>
  <c r="Q74" i="1"/>
  <c r="Q73" i="1"/>
  <c r="Q72" i="1"/>
  <c r="Q68" i="1"/>
  <c r="Q65" i="1"/>
  <c r="Q63" i="1"/>
  <c r="Q60" i="1"/>
  <c r="Q58" i="1"/>
  <c r="Q55" i="1"/>
  <c r="Q53" i="1"/>
  <c r="Q52" i="1"/>
  <c r="Q50" i="1"/>
  <c r="Q46" i="1"/>
  <c r="Q45" i="1"/>
  <c r="Q41" i="1"/>
  <c r="Q39" i="1"/>
  <c r="Q38" i="1"/>
  <c r="Q37" i="1"/>
  <c r="Q33" i="1"/>
  <c r="Q31" i="1"/>
  <c r="Q30" i="1"/>
  <c r="Q29" i="1"/>
  <c r="Q27" i="1"/>
  <c r="Q23" i="1"/>
  <c r="Q18" i="1"/>
  <c r="Q15" i="1"/>
  <c r="Q14" i="1"/>
  <c r="Q12" i="1"/>
  <c r="Q10" i="1"/>
  <c r="Q6" i="1"/>
  <c r="Q5" i="1"/>
  <c r="Q3" i="1"/>
  <c r="Q2" i="1"/>
  <c r="P356" i="1"/>
  <c r="P355" i="1"/>
  <c r="P352" i="1"/>
  <c r="P342" i="1"/>
  <c r="P337" i="1"/>
  <c r="P336" i="1"/>
  <c r="P335" i="1"/>
  <c r="P328" i="1"/>
  <c r="P327" i="1"/>
  <c r="P325" i="1"/>
  <c r="P324" i="1"/>
  <c r="P323" i="1"/>
  <c r="P322" i="1"/>
  <c r="P320" i="1"/>
  <c r="P317" i="1"/>
  <c r="P316" i="1"/>
  <c r="P315" i="1"/>
  <c r="P312" i="1"/>
  <c r="P306" i="1"/>
  <c r="P305" i="1"/>
  <c r="P302" i="1"/>
  <c r="P301" i="1"/>
  <c r="P297" i="1"/>
  <c r="P296" i="1"/>
  <c r="P295" i="1"/>
  <c r="P294" i="1"/>
  <c r="P293" i="1"/>
  <c r="P289" i="1"/>
  <c r="P286" i="1"/>
  <c r="P283" i="1"/>
  <c r="P282" i="1"/>
  <c r="P281" i="1"/>
  <c r="P278" i="1"/>
  <c r="P274" i="1"/>
  <c r="P273" i="1"/>
  <c r="P270" i="1"/>
  <c r="P268" i="1"/>
  <c r="P266" i="1"/>
  <c r="P265" i="1"/>
  <c r="P263" i="1"/>
  <c r="P261" i="1"/>
  <c r="P258" i="1"/>
  <c r="P252" i="1"/>
  <c r="P250" i="1"/>
  <c r="P248" i="1"/>
  <c r="P246" i="1"/>
  <c r="P245" i="1"/>
  <c r="P243" i="1"/>
  <c r="P241" i="1"/>
  <c r="P239" i="1"/>
  <c r="P237" i="1"/>
  <c r="P236" i="1"/>
  <c r="P232" i="1"/>
  <c r="P229" i="1"/>
  <c r="P228" i="1"/>
  <c r="P223" i="1"/>
  <c r="P221" i="1"/>
  <c r="P220" i="1"/>
  <c r="P218" i="1"/>
  <c r="P217" i="1"/>
  <c r="P215" i="1"/>
  <c r="P212" i="1"/>
  <c r="P209" i="1"/>
  <c r="P208" i="1"/>
  <c r="P205" i="1"/>
  <c r="P204" i="1"/>
  <c r="P202" i="1"/>
  <c r="P199" i="1"/>
  <c r="P197" i="1"/>
  <c r="P193" i="1"/>
  <c r="P192" i="1"/>
  <c r="P187" i="1"/>
  <c r="P186" i="1"/>
  <c r="P184" i="1"/>
  <c r="P182" i="1"/>
  <c r="P181" i="1"/>
  <c r="P180" i="1"/>
  <c r="P179" i="1"/>
  <c r="P176" i="1"/>
  <c r="P175" i="1"/>
  <c r="P174" i="1"/>
  <c r="P173" i="1"/>
  <c r="P172" i="1"/>
  <c r="P170" i="1"/>
  <c r="P167" i="1"/>
  <c r="P166" i="1"/>
  <c r="P164" i="1"/>
  <c r="P163" i="1"/>
  <c r="P162" i="1"/>
  <c r="P158" i="1"/>
  <c r="P157" i="1"/>
  <c r="P147" i="1"/>
  <c r="P141" i="1"/>
  <c r="P140" i="1"/>
  <c r="P138" i="1"/>
  <c r="P136" i="1"/>
  <c r="P134" i="1"/>
  <c r="P131" i="1"/>
  <c r="P128" i="1"/>
  <c r="P127" i="1"/>
  <c r="P124" i="1"/>
  <c r="P123" i="1"/>
  <c r="P122" i="1"/>
  <c r="P121" i="1"/>
  <c r="P120" i="1"/>
  <c r="P116" i="1"/>
  <c r="P113" i="1"/>
  <c r="P112" i="1"/>
  <c r="P109" i="1"/>
  <c r="P103" i="1"/>
  <c r="P102" i="1"/>
  <c r="P101" i="1"/>
  <c r="P100" i="1"/>
  <c r="P97" i="1"/>
  <c r="P95" i="1"/>
  <c r="P93" i="1"/>
  <c r="P91" i="1"/>
  <c r="P89" i="1"/>
  <c r="P88" i="1"/>
  <c r="P85" i="1"/>
  <c r="P81" i="1"/>
  <c r="P80" i="1"/>
  <c r="P78" i="1"/>
  <c r="P77" i="1"/>
  <c r="P74" i="1"/>
  <c r="P73" i="1"/>
  <c r="P72" i="1"/>
  <c r="P68" i="1"/>
  <c r="P65" i="1"/>
  <c r="P63" i="1"/>
  <c r="P60" i="1"/>
  <c r="P58" i="1"/>
  <c r="P55" i="1"/>
  <c r="P53" i="1"/>
  <c r="P52" i="1"/>
  <c r="P50" i="1"/>
  <c r="P46" i="1"/>
  <c r="P45" i="1"/>
  <c r="P41" i="1"/>
  <c r="P39" i="1"/>
  <c r="P38" i="1"/>
  <c r="P37" i="1"/>
  <c r="P33" i="1"/>
  <c r="P31" i="1"/>
  <c r="P30" i="1"/>
  <c r="P29" i="1"/>
  <c r="P27" i="1"/>
  <c r="P23" i="1"/>
  <c r="P18" i="1"/>
  <c r="P15" i="1"/>
  <c r="P14" i="1"/>
  <c r="P12" i="1"/>
  <c r="P10" i="1"/>
  <c r="P6" i="1"/>
  <c r="P5" i="1"/>
  <c r="P3" i="1"/>
  <c r="P2" i="1"/>
  <c r="O356" i="1"/>
  <c r="O355" i="1"/>
  <c r="O352" i="1"/>
  <c r="O342" i="1"/>
  <c r="O337" i="1"/>
  <c r="O336" i="1"/>
  <c r="O335" i="1"/>
  <c r="O328" i="1"/>
  <c r="O327" i="1"/>
  <c r="O325" i="1"/>
  <c r="O324" i="1"/>
  <c r="O323" i="1"/>
  <c r="O322" i="1"/>
  <c r="O320" i="1"/>
  <c r="O317" i="1"/>
  <c r="O316" i="1"/>
  <c r="O315" i="1"/>
  <c r="O312" i="1"/>
  <c r="O306" i="1"/>
  <c r="O305" i="1"/>
  <c r="O302" i="1"/>
  <c r="O301" i="1"/>
  <c r="O297" i="1"/>
  <c r="O296" i="1"/>
  <c r="O295" i="1"/>
  <c r="O294" i="1"/>
  <c r="O293" i="1"/>
  <c r="O289" i="1"/>
  <c r="O286" i="1"/>
  <c r="O283" i="1"/>
  <c r="O282" i="1"/>
  <c r="O281" i="1"/>
  <c r="O278" i="1"/>
  <c r="O274" i="1"/>
  <c r="O273" i="1"/>
  <c r="O270" i="1"/>
  <c r="O268" i="1"/>
  <c r="O266" i="1"/>
  <c r="O265" i="1"/>
  <c r="O263" i="1"/>
  <c r="O261" i="1"/>
  <c r="O258" i="1"/>
  <c r="O252" i="1"/>
  <c r="O250" i="1"/>
  <c r="O248" i="1"/>
  <c r="O246" i="1"/>
  <c r="O245" i="1"/>
  <c r="O243" i="1"/>
  <c r="O241" i="1"/>
  <c r="O239" i="1"/>
  <c r="O237" i="1"/>
  <c r="O236" i="1"/>
  <c r="O232" i="1"/>
  <c r="O229" i="1"/>
  <c r="O228" i="1"/>
  <c r="O223" i="1"/>
  <c r="O221" i="1"/>
  <c r="O220" i="1"/>
  <c r="O218" i="1"/>
  <c r="O217" i="1"/>
  <c r="O215" i="1"/>
  <c r="O212" i="1"/>
  <c r="O209" i="1"/>
  <c r="O208" i="1"/>
  <c r="O205" i="1"/>
  <c r="O204" i="1"/>
  <c r="O202" i="1"/>
  <c r="O199" i="1"/>
  <c r="O197" i="1"/>
  <c r="O193" i="1"/>
  <c r="O192" i="1"/>
  <c r="O187" i="1"/>
  <c r="O186" i="1"/>
  <c r="O184" i="1"/>
  <c r="O182" i="1"/>
  <c r="O181" i="1"/>
  <c r="O180" i="1"/>
  <c r="O179" i="1"/>
  <c r="O176" i="1"/>
  <c r="O175" i="1"/>
  <c r="O174" i="1"/>
  <c r="O173" i="1"/>
  <c r="O172" i="1"/>
  <c r="O170" i="1"/>
  <c r="O167" i="1"/>
  <c r="O166" i="1"/>
  <c r="O164" i="1"/>
  <c r="O163" i="1"/>
  <c r="O162" i="1"/>
  <c r="O158" i="1"/>
  <c r="O157" i="1"/>
  <c r="O147" i="1"/>
  <c r="O141" i="1"/>
  <c r="O140" i="1"/>
  <c r="O138" i="1"/>
  <c r="O136" i="1"/>
  <c r="O134" i="1"/>
  <c r="O131" i="1"/>
  <c r="O128" i="1"/>
  <c r="O127" i="1"/>
  <c r="O124" i="1"/>
  <c r="O123" i="1"/>
  <c r="O122" i="1"/>
  <c r="O121" i="1"/>
  <c r="O120" i="1"/>
  <c r="O116" i="1"/>
  <c r="O113" i="1"/>
  <c r="O112" i="1"/>
  <c r="O109" i="1"/>
  <c r="O103" i="1"/>
  <c r="O102" i="1"/>
  <c r="O101" i="1"/>
  <c r="O100" i="1"/>
  <c r="O97" i="1"/>
  <c r="O95" i="1"/>
  <c r="O93" i="1"/>
  <c r="O91" i="1"/>
  <c r="O89" i="1"/>
  <c r="O88" i="1"/>
  <c r="O85" i="1"/>
  <c r="O81" i="1"/>
  <c r="O80" i="1"/>
  <c r="O78" i="1"/>
  <c r="O77" i="1"/>
  <c r="O74" i="1"/>
  <c r="O73" i="1"/>
  <c r="O72" i="1"/>
  <c r="O68" i="1"/>
  <c r="O65" i="1"/>
  <c r="O63" i="1"/>
  <c r="O60" i="1"/>
  <c r="O58" i="1"/>
  <c r="O55" i="1"/>
  <c r="O53" i="1"/>
  <c r="O52" i="1"/>
  <c r="O50" i="1"/>
  <c r="O46" i="1"/>
  <c r="O45" i="1"/>
  <c r="O41" i="1"/>
  <c r="O39" i="1"/>
  <c r="O38" i="1"/>
  <c r="O37" i="1"/>
  <c r="O33" i="1"/>
  <c r="O31" i="1"/>
  <c r="O30" i="1"/>
  <c r="O29" i="1"/>
  <c r="O27" i="1"/>
  <c r="O23" i="1"/>
  <c r="O18" i="1"/>
  <c r="O15" i="1"/>
  <c r="O14" i="1"/>
  <c r="O12" i="1"/>
  <c r="O10" i="1"/>
  <c r="O6" i="1"/>
  <c r="O5" i="1"/>
  <c r="O3" i="1"/>
  <c r="T359" i="1" l="1"/>
  <c r="P359" i="1"/>
  <c r="S359" i="1"/>
  <c r="O359" i="1"/>
  <c r="Q359" i="1"/>
  <c r="R359" i="1"/>
  <c r="AA205" i="1"/>
  <c r="AA252" i="1"/>
  <c r="AA306" i="1"/>
  <c r="AA166" i="1"/>
  <c r="AA103" i="1"/>
  <c r="AA53" i="1"/>
  <c r="AA199" i="1"/>
  <c r="AA243" i="1"/>
  <c r="AA296" i="1"/>
  <c r="AA2" i="1"/>
  <c r="AA45" i="1"/>
  <c r="AA245" i="1"/>
  <c r="AA297" i="1"/>
  <c r="AA95" i="1"/>
  <c r="AA158" i="1"/>
  <c r="AA100" i="1"/>
  <c r="AA162" i="1"/>
  <c r="AA246" i="1"/>
  <c r="AA301" i="1"/>
  <c r="AA157" i="1"/>
  <c r="AA97" i="1"/>
  <c r="AA46" i="1"/>
  <c r="AA101" i="1"/>
  <c r="AA163" i="1"/>
  <c r="AA248" i="1"/>
  <c r="AA302" i="1"/>
  <c r="AA41" i="1"/>
  <c r="AA202" i="1"/>
  <c r="AA50" i="1"/>
  <c r="AA52" i="1"/>
  <c r="AA102" i="1"/>
  <c r="AA164" i="1"/>
  <c r="AA204" i="1"/>
  <c r="AA250" i="1"/>
  <c r="AA305" i="1"/>
  <c r="AA55" i="1"/>
  <c r="AA315" i="1"/>
  <c r="AA10" i="1"/>
  <c r="AA65" i="1"/>
  <c r="AA120" i="1"/>
  <c r="AA174" i="1"/>
  <c r="AA217" i="1"/>
  <c r="AA266" i="1"/>
  <c r="AA320" i="1"/>
  <c r="AA12" i="1"/>
  <c r="AA68" i="1"/>
  <c r="AA121" i="1"/>
  <c r="AA175" i="1"/>
  <c r="AA218" i="1"/>
  <c r="AA268" i="1"/>
  <c r="AA322" i="1"/>
  <c r="AA212" i="1"/>
  <c r="AA170" i="1"/>
  <c r="AA173" i="1"/>
  <c r="AA77" i="1"/>
  <c r="AA312" i="1"/>
  <c r="AA209" i="1"/>
  <c r="AA265" i="1"/>
  <c r="AA72" i="1"/>
  <c r="AA15" i="1"/>
  <c r="AA18" i="1"/>
  <c r="AA208" i="1"/>
  <c r="AA112" i="1"/>
  <c r="AA263" i="1"/>
  <c r="AA116" i="1"/>
  <c r="AA14" i="1"/>
  <c r="AA123" i="1"/>
  <c r="AA74" i="1"/>
  <c r="AA228" i="1"/>
  <c r="AA128" i="1"/>
  <c r="AA29" i="1"/>
  <c r="AA80" i="1"/>
  <c r="AA131" i="1"/>
  <c r="AA184" i="1"/>
  <c r="AA232" i="1"/>
  <c r="AA282" i="1"/>
  <c r="AA335" i="1"/>
  <c r="AA261" i="1"/>
  <c r="AA60" i="1"/>
  <c r="AA317" i="1"/>
  <c r="AA323" i="1"/>
  <c r="AA73" i="1"/>
  <c r="AA124" i="1"/>
  <c r="AA109" i="1"/>
  <c r="AA5" i="1"/>
  <c r="AA122" i="1"/>
  <c r="AA324" i="1"/>
  <c r="AA223" i="1"/>
  <c r="AA127" i="1"/>
  <c r="AA328" i="1"/>
  <c r="AA186" i="1"/>
  <c r="AA136" i="1"/>
  <c r="AA236" i="1"/>
  <c r="AA286" i="1"/>
  <c r="AA337" i="1"/>
  <c r="AA167" i="1"/>
  <c r="AA172" i="1"/>
  <c r="AA63" i="1"/>
  <c r="AA270" i="1"/>
  <c r="AA221" i="1"/>
  <c r="AA180" i="1"/>
  <c r="AA327" i="1"/>
  <c r="AA78" i="1"/>
  <c r="AA281" i="1"/>
  <c r="AA336" i="1"/>
  <c r="AA85" i="1"/>
  <c r="AA33" i="1"/>
  <c r="AA138" i="1"/>
  <c r="AA289" i="1"/>
  <c r="AA258" i="1"/>
  <c r="AA3" i="1"/>
  <c r="AA113" i="1"/>
  <c r="AA6" i="1"/>
  <c r="AA176" i="1"/>
  <c r="AA179" i="1"/>
  <c r="AA325" i="1"/>
  <c r="AA181" i="1"/>
  <c r="AA27" i="1"/>
  <c r="AA229" i="1"/>
  <c r="AA134" i="1"/>
  <c r="AA283" i="1"/>
  <c r="AA31" i="1"/>
  <c r="AA187" i="1"/>
  <c r="AA88" i="1"/>
  <c r="AA192" i="1"/>
  <c r="AA237" i="1"/>
  <c r="AA342" i="1"/>
  <c r="AA37" i="1"/>
  <c r="AA89" i="1"/>
  <c r="AA140" i="1"/>
  <c r="AA193" i="1"/>
  <c r="AA239" i="1"/>
  <c r="AA293" i="1"/>
  <c r="AA352" i="1"/>
  <c r="AA81" i="1"/>
  <c r="AA141" i="1"/>
  <c r="AA294" i="1"/>
  <c r="AA58" i="1"/>
  <c r="AA316" i="1"/>
  <c r="AA215" i="1"/>
  <c r="AA220" i="1"/>
  <c r="AA273" i="1"/>
  <c r="AA274" i="1"/>
  <c r="AA23" i="1"/>
  <c r="AA278" i="1"/>
  <c r="AA182" i="1"/>
  <c r="AA30" i="1"/>
  <c r="AA38" i="1"/>
  <c r="AA91" i="1"/>
  <c r="AA355" i="1"/>
  <c r="AA39" i="1"/>
  <c r="AA93" i="1"/>
  <c r="AA147" i="1"/>
  <c r="AA197" i="1"/>
  <c r="AA241" i="1"/>
  <c r="AA295" i="1"/>
  <c r="AA356" i="1"/>
  <c r="AA359" i="1" l="1"/>
</calcChain>
</file>

<file path=xl/sharedStrings.xml><?xml version="1.0" encoding="utf-8"?>
<sst xmlns="http://schemas.openxmlformats.org/spreadsheetml/2006/main" count="6635" uniqueCount="2182">
  <si>
    <t>Bankomat modeli</t>
  </si>
  <si>
    <t>Merchant ID</t>
  </si>
  <si>
    <t>Terminal ID</t>
  </si>
  <si>
    <t>1</t>
  </si>
  <si>
    <t>2</t>
  </si>
  <si>
    <t>3</t>
  </si>
  <si>
    <t>4</t>
  </si>
  <si>
    <t>5</t>
  </si>
  <si>
    <t>6</t>
  </si>
  <si>
    <t>Buxoro</t>
  </si>
  <si>
    <t>Qarshi</t>
  </si>
  <si>
    <t>Navoiy</t>
  </si>
  <si>
    <t>Namangan</t>
  </si>
  <si>
    <t>Samarqand</t>
  </si>
  <si>
    <t>Surxondaryo</t>
  </si>
  <si>
    <t>Sirdaryo</t>
  </si>
  <si>
    <t>Toshkent shahar</t>
  </si>
  <si>
    <t>Farg‘ona</t>
  </si>
  <si>
    <t>Xorazm</t>
  </si>
  <si>
    <t>Jizzax</t>
  </si>
  <si>
    <t>Shahrisabz</t>
  </si>
  <si>
    <t>Zangiota</t>
  </si>
  <si>
    <t>Andijon</t>
  </si>
  <si>
    <t>Bulung‘ur</t>
  </si>
  <si>
    <t>Omborda</t>
  </si>
  <si>
    <t>Yuridik manzili</t>
  </si>
  <si>
    <t>BXM</t>
  </si>
  <si>
    <t>Joylashgan joyi</t>
  </si>
  <si>
    <t>Bankomat turi</t>
  </si>
  <si>
    <t>Holati</t>
  </si>
  <si>
    <t>Seriya raqami</t>
  </si>
  <si>
    <t>Inventar raqami</t>
  </si>
  <si>
    <t>№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</si>
  <si>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</si>
  <si>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</si>
  <si>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</si>
  <si>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</si>
  <si>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</si>
  <si>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</si>
  <si>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</si>
  <si>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</si>
  <si>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</si>
  <si>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</si>
  <si>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</si>
  <si>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</si>
  <si>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</si>
  <si>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</si>
  <si>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</si>
  <si>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</si>
  <si>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</si>
  <si>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</si>
  <si>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</si>
  <si>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</si>
  <si>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</si>
  <si>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</si>
  <si>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</si>
  <si>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</si>
  <si>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</si>
  <si>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</si>
  <si>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</si>
  <si>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</si>
  <si>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</si>
  <si>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</si>
  <si>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</si>
  <si>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</si>
  <si>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</si>
  <si>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</si>
  <si>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</si>
  <si>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</si>
  <si>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</si>
  <si>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</si>
  <si>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</si>
  <si>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</si>
  <si>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</si>
  <si>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</si>
  <si>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</si>
  <si>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</si>
  <si>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</si>
  <si>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</si>
  <si>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</si>
  <si>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</si>
  <si>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</si>
  <si>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</si>
  <si>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</si>
  <si>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</si>
  <si>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</si>
  <si>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</si>
  <si>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</si>
  <si>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</si>
  <si>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</si>
  <si>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</si>
  <si>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</si>
  <si>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</si>
  <si>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</si>
  <si>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</si>
  <si>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</si>
  <si>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</si>
  <si>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</si>
  <si>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</si>
  <si>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</si>
  <si>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</si>
  <si>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</si>
  <si>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</si>
  <si>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</si>
  <si>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</si>
  <si>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</si>
  <si>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</si>
  <si>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</si>
  <si>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</si>
  <si>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</si>
  <si>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</si>
  <si>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</si>
  <si>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</si>
  <si>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</si>
  <si>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</si>
  <si>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</si>
  <si>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</si>
  <si>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</si>
  <si>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</si>
  <si>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</si>
  <si>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</si>
  <si>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</si>
  <si>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</si>
  <si>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</si>
  <si>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</si>
  <si>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</si>
  <si>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</si>
  <si>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</si>
  <si>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</si>
  <si>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</si>
  <si>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</si>
  <si>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</si>
  <si>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</si>
  <si>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</si>
  <si>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</si>
  <si>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</si>
  <si>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</si>
  <si>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</si>
  <si>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</si>
  <si>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</si>
  <si>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</si>
  <si>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</si>
  <si>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</si>
  <si>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</si>
  <si>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</si>
  <si>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</si>
  <si>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</si>
  <si>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</si>
  <si>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</si>
  <si>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</si>
  <si>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</si>
  <si>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</si>
  <si>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</si>
  <si>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</si>
  <si>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</si>
  <si>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</si>
  <si>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</si>
  <si>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</si>
  <si>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</si>
  <si>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</si>
  <si>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</si>
  <si>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</si>
  <si>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</si>
  <si>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</si>
  <si>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</si>
  <si>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</si>
  <si>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</si>
  <si>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</si>
  <si>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</si>
  <si>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</si>
  <si>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</si>
  <si>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</si>
  <si>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</si>
  <si>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</si>
  <si>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</si>
  <si>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</si>
  <si>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</si>
  <si>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</si>
  <si>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</si>
  <si>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</si>
  <si>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</si>
  <si>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</si>
  <si>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</si>
  <si>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</si>
  <si>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</si>
  <si>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</si>
  <si>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</si>
  <si>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</si>
  <si>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</si>
  <si>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</si>
  <si>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</si>
  <si>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</si>
  <si>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</si>
  <si>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</si>
  <si>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</si>
  <si>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</si>
  <si>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</si>
  <si>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</si>
  <si>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</si>
  <si>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</si>
  <si>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</si>
  <si>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</si>
  <si>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</si>
  <si>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</si>
  <si>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</si>
  <si>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</si>
  <si>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</si>
  <si>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</si>
  <si>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</si>
  <si>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</si>
  <si>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</si>
  <si>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</si>
  <si>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</si>
  <si>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</si>
  <si>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</si>
  <si>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</si>
  <si>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</si>
  <si>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</si>
  <si>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</si>
  <si>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</si>
  <si>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</si>
  <si>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</si>
  <si>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</si>
  <si>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</si>
  <si>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</si>
  <si>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</si>
  <si>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</si>
  <si>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</si>
  <si>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</si>
  <si>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</si>
  <si>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</si>
  <si>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</si>
  <si>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</si>
  <si>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</si>
  <si>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</si>
  <si>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</si>
  <si>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</si>
  <si>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</si>
  <si>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</si>
  <si>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</si>
  <si>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</si>
  <si>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</si>
  <si>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</si>
  <si>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</si>
  <si>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</si>
  <si>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</si>
  <si>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</si>
  <si>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</si>
  <si>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</si>
  <si>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</si>
  <si>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</si>
  <si>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</si>
  <si>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</si>
  <si>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</si>
  <si>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</si>
  <si>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</si>
  <si>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</si>
  <si>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</si>
  <si>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</si>
  <si>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</si>
  <si>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</si>
  <si>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</si>
  <si>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</si>
  <si>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</si>
  <si>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</si>
  <si>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</si>
  <si>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</si>
  <si>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</si>
  <si>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</si>
  <si>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</si>
  <si>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</si>
  <si>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</si>
  <si>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</si>
  <si>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</si>
  <si>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</si>
  <si>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</si>
  <si>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</si>
  <si>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</si>
  <si>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</si>
  <si>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</si>
  <si>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</si>
  <si>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</si>
  <si>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</si>
  <si>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</si>
  <si>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</si>
  <si>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</si>
  <si>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</si>
  <si>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</si>
  <si>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</si>
  <si>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</si>
  <si>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</si>
  <si>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</si>
  <si>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</si>
  <si>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</si>
  <si>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</si>
  <si>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</si>
  <si>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</si>
  <si>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</si>
  <si>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</si>
  <si>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</si>
  <si>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</si>
  <si>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</si>
  <si>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</si>
  <si>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</si>
  <si>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</si>
  <si>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</si>
  <si>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</si>
  <si>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</si>
  <si>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</si>
  <si>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</si>
  <si>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</si>
  <si>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</si>
  <si>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</si>
  <si>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</si>
  <si>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</si>
  <si>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</si>
  <si>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</si>
  <si>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</si>
  <si>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</si>
  <si>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</si>
  <si>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</si>
  <si>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</si>
  <si>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</si>
  <si>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</si>
  <si>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</si>
  <si>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</si>
  <si>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</si>
  <si>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</si>
  <si>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</si>
  <si>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</si>
  <si>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</si>
  <si>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</si>
  <si>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</si>
  <si>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</si>
  <si>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</si>
  <si>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</si>
  <si>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</si>
  <si>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</si>
  <si>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</si>
  <si>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</si>
  <si>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</si>
  <si>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</si>
  <si>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</si>
  <si>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</si>
  <si>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</si>
  <si>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</si>
  <si>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</si>
  <si>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</si>
  <si>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</si>
  <si>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</si>
  <si>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</si>
  <si>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</si>
  <si>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</si>
  <si>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</si>
  <si>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</si>
  <si>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</si>
  <si>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</si>
  <si>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</si>
  <si>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</si>
  <si>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</si>
  <si>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</si>
  <si>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</si>
  <si>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</si>
  <si>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</si>
  <si>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Uzcard</t>
  </si>
  <si>
    <t>835/551</t>
  </si>
  <si>
    <t>Урганч шахар Хонқа кўчаси 104 а уй (Банк олди 24/7)</t>
  </si>
  <si>
    <t>901115116</t>
  </si>
  <si>
    <t>920/551</t>
  </si>
  <si>
    <t>901116143</t>
  </si>
  <si>
    <t>Humo</t>
  </si>
  <si>
    <t>Diebold</t>
  </si>
  <si>
    <t>5310177611</t>
  </si>
  <si>
    <t>1218/551</t>
  </si>
  <si>
    <t>005510000055109</t>
  </si>
  <si>
    <t>157A05AA</t>
  </si>
  <si>
    <t>GRG</t>
  </si>
  <si>
    <t>1108457417</t>
  </si>
  <si>
    <t>1827/551</t>
  </si>
  <si>
    <t>005510000055112</t>
  </si>
  <si>
    <t>157A0AN2</t>
  </si>
  <si>
    <t>Vash</t>
  </si>
  <si>
    <t>Tactilion</t>
  </si>
  <si>
    <t>925/925</t>
  </si>
  <si>
    <t>TBATM019</t>
  </si>
  <si>
    <t>Jayxun BXO</t>
  </si>
  <si>
    <t>965/551</t>
  </si>
  <si>
    <t>Урганч шахар Саноатчилар кўчаси (Хоразм автотех олди 24/7)</t>
  </si>
  <si>
    <t>901117697</t>
  </si>
  <si>
    <t>964/1</t>
  </si>
  <si>
    <t>5310177895</t>
  </si>
  <si>
    <t>1220/551</t>
  </si>
  <si>
    <t>00551000005510C</t>
  </si>
  <si>
    <t>157A060L</t>
  </si>
  <si>
    <t>926/926</t>
  </si>
  <si>
    <t>TBATM020</t>
  </si>
  <si>
    <t>Al-Xorazmiy BXO</t>
  </si>
  <si>
    <t>1579/551</t>
  </si>
  <si>
    <t>Урганч шахар Ўзбекистон кўчаси 27 уй (Daewoo магазин катори 24/7)</t>
  </si>
  <si>
    <t>901121059</t>
  </si>
  <si>
    <t>5310177404</t>
  </si>
  <si>
    <t>1219/551</t>
  </si>
  <si>
    <t>00551000005510A</t>
  </si>
  <si>
    <t>157A05AR</t>
  </si>
  <si>
    <t>927/927</t>
  </si>
  <si>
    <t>TBATM021</t>
  </si>
  <si>
    <t>Xonqa BXO</t>
  </si>
  <si>
    <t>Хонка туман Сарапаён қишлоғи Пахтагул махалласи (24/7)</t>
  </si>
  <si>
    <t>901118898</t>
  </si>
  <si>
    <t>1221/551</t>
  </si>
  <si>
    <t>00551000005510B</t>
  </si>
  <si>
    <t>157A05CL</t>
  </si>
  <si>
    <t>Yangibozor BXO</t>
  </si>
  <si>
    <t>1601/551</t>
  </si>
  <si>
    <t>Янгибозор туман Сохил бўйи кўчаси</t>
  </si>
  <si>
    <t>901121631</t>
  </si>
  <si>
    <t>1835/551</t>
  </si>
  <si>
    <t>00551000005511A</t>
  </si>
  <si>
    <t>157A0C5B</t>
  </si>
  <si>
    <t>Xonqa qoraqosh</t>
  </si>
  <si>
    <t>1578/551</t>
  </si>
  <si>
    <t>Хонқа туман Қорақош қишлоғи</t>
  </si>
  <si>
    <t>Yunus klinikasi</t>
  </si>
  <si>
    <t>94-58407008</t>
  </si>
  <si>
    <t>1833/551</t>
  </si>
  <si>
    <t>Урганч шахар Навоий кўчаси 100 уй (Yunus klinikasi)</t>
  </si>
  <si>
    <t>005510000055119</t>
  </si>
  <si>
    <t>157A0C51</t>
  </si>
  <si>
    <t>13-52882218</t>
  </si>
  <si>
    <t>814/551</t>
  </si>
  <si>
    <t>13-57828722</t>
  </si>
  <si>
    <t>893/585</t>
  </si>
  <si>
    <t>Нукус шахри ул.Т.Кайыпбергенов 25-а</t>
  </si>
  <si>
    <t>930/585</t>
  </si>
  <si>
    <t>00585000005850X</t>
  </si>
  <si>
    <t>157A0AKA</t>
  </si>
  <si>
    <t>924/585</t>
  </si>
  <si>
    <t>TBATM023</t>
  </si>
  <si>
    <t>Nukus BXO</t>
  </si>
  <si>
    <t>94-55605892</t>
  </si>
  <si>
    <t>914/585</t>
  </si>
  <si>
    <t>Нукус шахри ул.Г.Шеразиева 5/4</t>
  </si>
  <si>
    <t>13-59981043</t>
  </si>
  <si>
    <t>1899/585585_73403583</t>
  </si>
  <si>
    <t>915/585</t>
  </si>
  <si>
    <t>00585000005850B</t>
  </si>
  <si>
    <t>157A05A8</t>
  </si>
  <si>
    <t>917/585</t>
  </si>
  <si>
    <t>TBATM049</t>
  </si>
  <si>
    <t>13-57828720</t>
  </si>
  <si>
    <t>912/585</t>
  </si>
  <si>
    <t>Нукус шахри ул.П.Сейтов 9-в кв 31</t>
  </si>
  <si>
    <t>928/585</t>
  </si>
  <si>
    <t>00585000005850U</t>
  </si>
  <si>
    <t>157A09KC</t>
  </si>
  <si>
    <t>925/585</t>
  </si>
  <si>
    <t>TBATM056</t>
  </si>
  <si>
    <t>13-59981118</t>
  </si>
  <si>
    <t>894/585</t>
  </si>
  <si>
    <t>Тахиаташ шахри А.Фарабий 27</t>
  </si>
  <si>
    <t>1900/585585_74548958</t>
  </si>
  <si>
    <t>00585000004461T</t>
  </si>
  <si>
    <t>1570001G</t>
  </si>
  <si>
    <t>Nukus shahri</t>
  </si>
  <si>
    <t>895/585</t>
  </si>
  <si>
    <t>Нукус шахри Коскол-4 ул.Аскерлер б/н</t>
  </si>
  <si>
    <t>005850000058517</t>
  </si>
  <si>
    <t>157A0C07</t>
  </si>
  <si>
    <t>94-58406996</t>
  </si>
  <si>
    <t>929/585</t>
  </si>
  <si>
    <t>Нукус шахри ул.Тахиаташ гузари б/н</t>
  </si>
  <si>
    <t>00585000004461U</t>
  </si>
  <si>
    <t>1570001P</t>
  </si>
  <si>
    <t>13-52882259</t>
  </si>
  <si>
    <t>NCR6622</t>
  </si>
  <si>
    <t>NCR6623</t>
  </si>
  <si>
    <t>002261625</t>
  </si>
  <si>
    <t>Наманган шахар хамрох куча 68 уй</t>
  </si>
  <si>
    <t>00226000002260W</t>
  </si>
  <si>
    <t>157A0AJY</t>
  </si>
  <si>
    <t>002263143</t>
  </si>
  <si>
    <t>002266809</t>
  </si>
  <si>
    <t>TBATM027</t>
  </si>
  <si>
    <t>Chorsu BXO</t>
  </si>
  <si>
    <t>002263778</t>
  </si>
  <si>
    <t>Наманган шахар Озод МФЙ Уйчи кучаси</t>
  </si>
  <si>
    <t>002260000022609</t>
  </si>
  <si>
    <t>157A05ZA</t>
  </si>
  <si>
    <t xml:space="preserve">Nosoz </t>
  </si>
  <si>
    <t>002263776</t>
  </si>
  <si>
    <t>TBATM038</t>
  </si>
  <si>
    <t>Nosoz</t>
  </si>
  <si>
    <t>002269116</t>
  </si>
  <si>
    <t>002262046_16090220</t>
  </si>
  <si>
    <t>Lola BXO</t>
  </si>
  <si>
    <t>002263902</t>
  </si>
  <si>
    <t xml:space="preserve"> Наманган шахар Бобуршох кучаси </t>
  </si>
  <si>
    <t>002263835</t>
  </si>
  <si>
    <t>00226000002260N</t>
  </si>
  <si>
    <t>157A076O</t>
  </si>
  <si>
    <t>002263711</t>
  </si>
  <si>
    <t>Давлатобод тумани Кукумбойшох кучаси 40А уй</t>
  </si>
  <si>
    <t>00226000002260B</t>
  </si>
  <si>
    <t>157A061Z</t>
  </si>
  <si>
    <t>002263836</t>
  </si>
  <si>
    <t>Kosonsoy BXO</t>
  </si>
  <si>
    <t>002266828</t>
  </si>
  <si>
    <t>Косонсой тумани А.Новоий 72 уй</t>
  </si>
  <si>
    <t>002263777</t>
  </si>
  <si>
    <t>002260000022608</t>
  </si>
  <si>
    <t>157A05AO</t>
  </si>
  <si>
    <t>002262097</t>
  </si>
  <si>
    <t>Давлатобод тумани Кукумбойшох кучаси 1 уй</t>
  </si>
  <si>
    <t>002262004_16090724</t>
  </si>
  <si>
    <t>Янгикургон т  Дехконобод МФЙ  маркази</t>
  </si>
  <si>
    <t>002263779</t>
  </si>
  <si>
    <t>Наманган ш Чорсу МФЙ Чорсу дехкон бозори</t>
  </si>
  <si>
    <t>00226000002260A</t>
  </si>
  <si>
    <t>157A05YH</t>
  </si>
  <si>
    <t>002261674</t>
  </si>
  <si>
    <t>002262078</t>
  </si>
  <si>
    <t>002260000044618</t>
  </si>
  <si>
    <t>Soz</t>
  </si>
  <si>
    <t>Do‘stlik BXO</t>
  </si>
  <si>
    <t xml:space="preserve">Davlatobod tumani </t>
  </si>
  <si>
    <t xml:space="preserve">Yangiqo‘rg‘on tumani </t>
  </si>
  <si>
    <t>1108457403</t>
  </si>
  <si>
    <t>13-57828675</t>
  </si>
  <si>
    <t>00986/2241</t>
  </si>
  <si>
    <t>00986/2051</t>
  </si>
  <si>
    <t>00986/2227</t>
  </si>
  <si>
    <t>01144-804</t>
  </si>
  <si>
    <t>00986/2005</t>
  </si>
  <si>
    <t>TBATM002</t>
  </si>
  <si>
    <t>TBATM066</t>
  </si>
  <si>
    <t>TBATM069</t>
  </si>
  <si>
    <t>13-55551694</t>
  </si>
  <si>
    <t>00111-1718</t>
  </si>
  <si>
    <t>Buxoro shahar Ibrohim Mo'minov ko'chasi 29/1 uy</t>
  </si>
  <si>
    <t>901115126</t>
  </si>
  <si>
    <t>94-55605813</t>
  </si>
  <si>
    <t>00111-1828</t>
  </si>
  <si>
    <t>901120490</t>
  </si>
  <si>
    <t>00111-3400</t>
  </si>
  <si>
    <t>001110000011113</t>
  </si>
  <si>
    <t>157A0AK3</t>
  </si>
  <si>
    <t>00111-1738</t>
  </si>
  <si>
    <t>TBATM009</t>
  </si>
  <si>
    <t xml:space="preserve">G'ijduvon tuman </t>
  </si>
  <si>
    <t>13-57828653</t>
  </si>
  <si>
    <t>00111-2649</t>
  </si>
  <si>
    <t>G'ijduvon tuman Y.Hamadoniy ko'chasi 101 uy</t>
  </si>
  <si>
    <t>94-58406995</t>
  </si>
  <si>
    <t>00111-3402</t>
  </si>
  <si>
    <t>00111000001111K</t>
  </si>
  <si>
    <t>157A0C0U</t>
  </si>
  <si>
    <t>94-58406990</t>
  </si>
  <si>
    <t>00446/492816-2</t>
  </si>
  <si>
    <t>G'ijduvon tuman Degrezon ko'chasi</t>
  </si>
  <si>
    <t>00111000004461U</t>
  </si>
  <si>
    <t>1570000E</t>
  </si>
  <si>
    <t>5310177380</t>
  </si>
  <si>
    <t>00111-1947</t>
  </si>
  <si>
    <t>001110000044620</t>
  </si>
  <si>
    <t>1570001V</t>
  </si>
  <si>
    <t>Kogon BXO</t>
  </si>
  <si>
    <t>13-57828718</t>
  </si>
  <si>
    <t>00111-2650</t>
  </si>
  <si>
    <t>Kogon shahar Buxoroshox ko'chasi 23 A uy</t>
  </si>
  <si>
    <t>901120416</t>
  </si>
  <si>
    <t>00111-2034</t>
  </si>
  <si>
    <t>00111000001110С</t>
  </si>
  <si>
    <t>157A062W</t>
  </si>
  <si>
    <t>Qorako'l BXO</t>
  </si>
  <si>
    <t>13-57828663</t>
  </si>
  <si>
    <t>00111-2651</t>
  </si>
  <si>
    <t>Qorako'l tuman Ulug'bek ko'chasi</t>
  </si>
  <si>
    <t>2020-8</t>
  </si>
  <si>
    <t>00111000001111E</t>
  </si>
  <si>
    <t>157A0B8L</t>
  </si>
  <si>
    <t>Eski shahar</t>
  </si>
  <si>
    <t>Buxoro shahar Haqiqat ko'chasi 9 uy</t>
  </si>
  <si>
    <t>901124759</t>
  </si>
  <si>
    <t>00111-1737</t>
  </si>
  <si>
    <t>TBATM010</t>
  </si>
  <si>
    <t>94-58406997</t>
  </si>
  <si>
    <t>00111-3401</t>
  </si>
  <si>
    <t>Buxoro shahar S Murodov ko'chasi</t>
  </si>
  <si>
    <t>00111000001111L</t>
  </si>
  <si>
    <t>157A0C0V</t>
  </si>
  <si>
    <t>94-55605803</t>
  </si>
  <si>
    <t>00111-1829</t>
  </si>
  <si>
    <t>Buxoro shahar Piridastgir ko'chasi 5 A uy</t>
  </si>
  <si>
    <t>901117504</t>
  </si>
  <si>
    <t>00111-3330</t>
  </si>
  <si>
    <t>Buxoro tuman Zarmanoq mfy</t>
  </si>
  <si>
    <t>00111000001111F</t>
  </si>
  <si>
    <t>157A0B8M</t>
  </si>
  <si>
    <t>00111-1827</t>
  </si>
  <si>
    <t>901117296</t>
  </si>
  <si>
    <t>5310177420</t>
  </si>
  <si>
    <t>00111-1948</t>
  </si>
  <si>
    <t>001110000011109</t>
  </si>
  <si>
    <t>157A05DJ</t>
  </si>
  <si>
    <t>1108457422</t>
  </si>
  <si>
    <t>157A0AK2</t>
  </si>
  <si>
    <t>TBATM042</t>
  </si>
  <si>
    <t>Marifat BXO</t>
  </si>
  <si>
    <t>157A059V</t>
  </si>
  <si>
    <t>Qodiriy BXO</t>
  </si>
  <si>
    <t>TBATM048</t>
  </si>
  <si>
    <t>Nurxon BXO</t>
  </si>
  <si>
    <t>157A05ZQ</t>
  </si>
  <si>
    <t>Vodil BXO</t>
  </si>
  <si>
    <t>157A06XN</t>
  </si>
  <si>
    <t>Xuvaydo BXO</t>
  </si>
  <si>
    <t>Rishton BXO</t>
  </si>
  <si>
    <t>157A059T</t>
  </si>
  <si>
    <t>Yangxin zavodi</t>
  </si>
  <si>
    <t>TBATM026</t>
  </si>
  <si>
    <t>Nurafshon sanatoriya</t>
  </si>
  <si>
    <t>1570000B</t>
  </si>
  <si>
    <t>13-52882251</t>
  </si>
  <si>
    <t>1108457433</t>
  </si>
  <si>
    <t>13-55551581</t>
  </si>
  <si>
    <t>5310177605</t>
  </si>
  <si>
    <t>13-57828725</t>
  </si>
  <si>
    <t>5310178022</t>
  </si>
  <si>
    <t>94-55605784</t>
  </si>
  <si>
    <t>13-59981026</t>
  </si>
  <si>
    <t>5310177722</t>
  </si>
  <si>
    <t>94-55605881</t>
  </si>
  <si>
    <t>5310181212</t>
  </si>
  <si>
    <t>94-58406986</t>
  </si>
  <si>
    <t>5310177362</t>
  </si>
  <si>
    <t>13-57828709</t>
  </si>
  <si>
    <t>5310177634</t>
  </si>
  <si>
    <t>94-58406985</t>
  </si>
  <si>
    <t>94-58407004</t>
  </si>
  <si>
    <t>1475/498</t>
  </si>
  <si>
    <t>901114238</t>
  </si>
  <si>
    <t>Фаргона ш   Марифат 44 уй</t>
  </si>
  <si>
    <t>2176/498</t>
  </si>
  <si>
    <t>00498000004980W</t>
  </si>
  <si>
    <t>1843/498</t>
  </si>
  <si>
    <t>Фаргона ш дотхох к 9</t>
  </si>
  <si>
    <t>1517/498</t>
  </si>
  <si>
    <t>1608/498</t>
  </si>
  <si>
    <t>00498000004980B</t>
  </si>
  <si>
    <t xml:space="preserve">ФАРГОНА Ш А КОДИРИЙ КУЧАСИ </t>
  </si>
  <si>
    <t>90110028425</t>
  </si>
  <si>
    <t>004980000044629</t>
  </si>
  <si>
    <t>1044/498</t>
  </si>
  <si>
    <t>573/1171</t>
  </si>
  <si>
    <t>632/1171</t>
  </si>
  <si>
    <t>ФАРГОНА Ш А Навоий к 52/4 уй</t>
  </si>
  <si>
    <t>1558/498</t>
  </si>
  <si>
    <t>2291/498</t>
  </si>
  <si>
    <t>1632/498</t>
  </si>
  <si>
    <t>00498000004980G</t>
  </si>
  <si>
    <t>1557/498</t>
  </si>
  <si>
    <t>1844/498</t>
  </si>
  <si>
    <t>00498000004980L</t>
  </si>
  <si>
    <t>ФАРГОНА Т  ВОДИЛ</t>
  </si>
  <si>
    <t>Фаргона т сой буйи</t>
  </si>
  <si>
    <t>90110028444</t>
  </si>
  <si>
    <t>004980000044628</t>
  </si>
  <si>
    <t>42/498</t>
  </si>
  <si>
    <t>01084/495372-1</t>
  </si>
  <si>
    <t>825/1171</t>
  </si>
  <si>
    <t>00498000004980A</t>
  </si>
  <si>
    <t>2044/498</t>
  </si>
  <si>
    <t>1607/498</t>
  </si>
  <si>
    <t>Риштон Т Рошидони</t>
  </si>
  <si>
    <t>Уч куприк Т янхин завод</t>
  </si>
  <si>
    <t>1523/498</t>
  </si>
  <si>
    <t>004980000049811</t>
  </si>
  <si>
    <t>2292/498</t>
  </si>
  <si>
    <t>ФАРГОНА Т  Нурафшон сихатгохи</t>
  </si>
  <si>
    <t>Istiqlol BXO</t>
  </si>
  <si>
    <t>Yangibozor 24/7</t>
  </si>
  <si>
    <t>Hokimiyat 24/7</t>
  </si>
  <si>
    <t>Humo BXO</t>
  </si>
  <si>
    <t>Taraqqiyot BXO</t>
  </si>
  <si>
    <t>2-maktab 24/7</t>
  </si>
  <si>
    <t>13-54969409</t>
  </si>
  <si>
    <t>003681979</t>
  </si>
  <si>
    <t>003682323</t>
  </si>
  <si>
    <t>003681359</t>
  </si>
  <si>
    <t>Guliston shahar Xondamir ko'chasi 77a-uy (BXM qoshidagi 24/7)</t>
  </si>
  <si>
    <t>003680000036812</t>
  </si>
  <si>
    <t>157A0AH2</t>
  </si>
  <si>
    <t>TBATM024</t>
  </si>
  <si>
    <t>13-59981028</t>
  </si>
  <si>
    <t>94-58406991</t>
  </si>
  <si>
    <t>003681327</t>
  </si>
  <si>
    <t>003683114</t>
  </si>
  <si>
    <t>003681922</t>
  </si>
  <si>
    <t>Sirdaryo tuman Yangi ko'cha 198-uy (Istiqlol BXO 24/7)</t>
  </si>
  <si>
    <t>00368000003681B</t>
  </si>
  <si>
    <t>TBATM041</t>
  </si>
  <si>
    <t>157A0BYU</t>
  </si>
  <si>
    <t>13-57828700</t>
  </si>
  <si>
    <t>5310177438</t>
  </si>
  <si>
    <t>003681326</t>
  </si>
  <si>
    <t>003681920</t>
  </si>
  <si>
    <t>003681924</t>
  </si>
  <si>
    <t>00368000003680B</t>
  </si>
  <si>
    <t>157A05AJ</t>
  </si>
  <si>
    <t>TBATM040</t>
  </si>
  <si>
    <t>13-55551547</t>
  </si>
  <si>
    <t>003683113</t>
  </si>
  <si>
    <t>5310177941</t>
  </si>
  <si>
    <t>003681921</t>
  </si>
  <si>
    <t>O'zbekiston ko'chasi (shahar hokimiyati avtoturargohidagi 24/7)</t>
  </si>
  <si>
    <t>00368000003680C</t>
  </si>
  <si>
    <t>157A060I</t>
  </si>
  <si>
    <t>13-57828703</t>
  </si>
  <si>
    <t>0036802231</t>
  </si>
  <si>
    <t>Mirzaobod tuman Navro'z shaharchasi Mustaqillik ko'chasi 5-uy (Humo BXO 24/7)</t>
  </si>
  <si>
    <t>5310177524</t>
  </si>
  <si>
    <t>003681923</t>
  </si>
  <si>
    <t>00368000003680G</t>
  </si>
  <si>
    <t>157A06YW</t>
  </si>
  <si>
    <t>13-57828713</t>
  </si>
  <si>
    <t>003681977</t>
  </si>
  <si>
    <t>Sirdaryo tuman Yangi ko'cha 1-uy (Peng sheng)</t>
  </si>
  <si>
    <t>01144-463</t>
  </si>
  <si>
    <t>Guliston shaxar Bo'ston m. 4-mavze  6-dom   (Soya Farm World 24/7)</t>
  </si>
  <si>
    <t>03680000044627</t>
  </si>
  <si>
    <t>1570001L</t>
  </si>
  <si>
    <t>Ko‘hna qala BXO</t>
  </si>
  <si>
    <t>13-57828666</t>
  </si>
  <si>
    <t>00282/1665-1668/01</t>
  </si>
  <si>
    <t>Bulung'ur tumani Fozil yo'ldosh ko'cha 24 a uy (Банк олди 24/7)</t>
  </si>
  <si>
    <t>90110030130</t>
  </si>
  <si>
    <t>1108457399</t>
  </si>
  <si>
    <t>01144/466358-1</t>
  </si>
  <si>
    <t>119330000044606</t>
  </si>
  <si>
    <t>1570000F</t>
  </si>
  <si>
    <t>Usmonqulota choyhonasi</t>
  </si>
  <si>
    <t>1108457401</t>
  </si>
  <si>
    <t>01144/457548-1</t>
  </si>
  <si>
    <t>Bulung'ur tumani Go'bdin MFY M39 yo'li  (24/7)</t>
  </si>
  <si>
    <t>004460000044635</t>
  </si>
  <si>
    <t>1570000J</t>
  </si>
  <si>
    <t>Denov BXO</t>
  </si>
  <si>
    <t>Baqtriya savdo kompleksi</t>
  </si>
  <si>
    <t>Uztelecom aqlli bekat</t>
  </si>
  <si>
    <t>13-57828714</t>
  </si>
  <si>
    <t>328/1713</t>
  </si>
  <si>
    <t>Termiz shaxar B Avlod ko`chasi 32 uy  (Bank qoshida) 24/7</t>
  </si>
  <si>
    <t>328/1575</t>
  </si>
  <si>
    <t>00328000003280C</t>
  </si>
  <si>
    <t>157A05ZP</t>
  </si>
  <si>
    <t>328/1921</t>
  </si>
  <si>
    <t>00328000003280M</t>
  </si>
  <si>
    <t>157A0AN0</t>
  </si>
  <si>
    <t>328/2/1001</t>
  </si>
  <si>
    <t>TBATM017</t>
  </si>
  <si>
    <t>13-57828674</t>
  </si>
  <si>
    <t>328/1715</t>
  </si>
  <si>
    <t>Denov tumani sh rashidov ko`chasi 253 uy</t>
  </si>
  <si>
    <t>328/1556</t>
  </si>
  <si>
    <t>00328000003280E</t>
  </si>
  <si>
    <t>157A07AF</t>
  </si>
  <si>
    <t>328/1/1569</t>
  </si>
  <si>
    <t>Sariosiyo tumani Sangardar MFY   Dor yo`li</t>
  </si>
  <si>
    <t>00328000003280B</t>
  </si>
  <si>
    <t>157A05ZO</t>
  </si>
  <si>
    <t>13-59981025</t>
  </si>
  <si>
    <t>328/1986</t>
  </si>
  <si>
    <t>Termiz shaxar Toxariston ko`chasi (Baqtriya Savdo majmuasi) yonida 24/7</t>
  </si>
  <si>
    <t>94-58406976</t>
  </si>
  <si>
    <t>328/1987</t>
  </si>
  <si>
    <t>00328000003280T</t>
  </si>
  <si>
    <t>157A0CCR</t>
  </si>
  <si>
    <t>328/1001</t>
  </si>
  <si>
    <t>TBATM018</t>
  </si>
  <si>
    <t>13-57828695</t>
  </si>
  <si>
    <t>328/1714</t>
  </si>
  <si>
    <t>Termiz shaxar At-termiziy ko`chasi (Aloqachilar bekati) ichida  24/7</t>
  </si>
  <si>
    <t>94-58406975</t>
  </si>
  <si>
    <t>328/1988</t>
  </si>
  <si>
    <t>00328000004460Z</t>
  </si>
  <si>
    <t>328/1/1556</t>
  </si>
  <si>
    <t>TBATM039</t>
  </si>
  <si>
    <t>328/1/1568</t>
  </si>
  <si>
    <t>Jarqurg`on tumani Yangiobod MFY Maxtimquli ko`chasi 34 a uy</t>
  </si>
  <si>
    <t>00328000003280A</t>
  </si>
  <si>
    <t>157A05AK</t>
  </si>
  <si>
    <t>94-55605891</t>
  </si>
  <si>
    <t>328/1232</t>
  </si>
  <si>
    <t>94-55605812</t>
  </si>
  <si>
    <t>328/948</t>
  </si>
  <si>
    <t>13-52882232</t>
  </si>
  <si>
    <t>328/1233</t>
  </si>
  <si>
    <t>Chinoz BXO</t>
  </si>
  <si>
    <t>Ohangaron BXO</t>
  </si>
  <si>
    <t>Ohangaron sement</t>
  </si>
  <si>
    <t>13-52882216</t>
  </si>
  <si>
    <t>01019/1165</t>
  </si>
  <si>
    <t>Бекбарака савдо мажмуаси кошида</t>
  </si>
  <si>
    <t>901114259</t>
  </si>
  <si>
    <t>13-57828676</t>
  </si>
  <si>
    <t>01019/4915</t>
  </si>
  <si>
    <t>Zangiota tumani, Eshonguzar MFY, Mustaqillik ko’chasi 2-uy</t>
  </si>
  <si>
    <t>13-59981046</t>
  </si>
  <si>
    <t>01019/4912.1</t>
  </si>
  <si>
    <t>Бустонлик тумани, Чорбок шахарчаси</t>
  </si>
  <si>
    <t>901125769</t>
  </si>
  <si>
    <t>13-59981030</t>
  </si>
  <si>
    <t>01019/4666</t>
  </si>
  <si>
    <t>Зангиота тумани, Эшонгузар шахарчасиб, Alfa Trade Center савдо комплекси</t>
  </si>
  <si>
    <t>901124714</t>
  </si>
  <si>
    <t>01019/4752</t>
  </si>
  <si>
    <t>01019000010191L</t>
  </si>
  <si>
    <t>157A0CWR</t>
  </si>
  <si>
    <t>01019/2594</t>
  </si>
  <si>
    <t>010190000044621</t>
  </si>
  <si>
    <t>1570001E</t>
  </si>
  <si>
    <t>01019/2595</t>
  </si>
  <si>
    <t>Angren shahar, Gulbog‘ MFY, Sanoat hududi, 96-uy</t>
  </si>
  <si>
    <t>010190000044620</t>
  </si>
  <si>
    <t>1570001C</t>
  </si>
  <si>
    <t>01019/2593</t>
  </si>
  <si>
    <t>Зангиота туман М39, 45 Мархабо мехмонхонаси</t>
  </si>
  <si>
    <t>010190000101908</t>
  </si>
  <si>
    <t>157A05YS</t>
  </si>
  <si>
    <t>01019/4534</t>
  </si>
  <si>
    <t>010190000101918</t>
  </si>
  <si>
    <t>157A0AFC</t>
  </si>
  <si>
    <t>01019/5058</t>
  </si>
  <si>
    <t>TBATM007</t>
  </si>
  <si>
    <t>01019/3507</t>
  </si>
  <si>
    <t>TBATM057</t>
  </si>
  <si>
    <t>94-55605790</t>
  </si>
  <si>
    <t>01019/6037</t>
  </si>
  <si>
    <t>Chinoz tumani, Xamza MFY, Sharof Rashidov, 1-uy</t>
  </si>
  <si>
    <t>901117560</t>
  </si>
  <si>
    <t>13-57828830</t>
  </si>
  <si>
    <t>01019/3943</t>
  </si>
  <si>
    <t>901120377</t>
  </si>
  <si>
    <t>94-58406973</t>
  </si>
  <si>
    <t>01019/4914</t>
  </si>
  <si>
    <t>01019000010191J</t>
  </si>
  <si>
    <t>157A0CHK</t>
  </si>
  <si>
    <t>94-58407010</t>
  </si>
  <si>
    <t>01019/4913.1</t>
  </si>
  <si>
    <t>01019000010191M</t>
  </si>
  <si>
    <t>157A0CWS</t>
  </si>
  <si>
    <t>13-59981045</t>
  </si>
  <si>
    <t>01019/4064</t>
  </si>
  <si>
    <t>Oxangaron shaxri, Guliston daxasi, Guliston MFY, 9-uy</t>
  </si>
  <si>
    <t>901125766</t>
  </si>
  <si>
    <t>94-58407001</t>
  </si>
  <si>
    <t>01019/4751.1</t>
  </si>
  <si>
    <t>01019000010191I</t>
  </si>
  <si>
    <t>157A0CHJ</t>
  </si>
  <si>
    <t>13-57828654</t>
  </si>
  <si>
    <t>01019/3942</t>
  </si>
  <si>
    <t>901121396</t>
  </si>
  <si>
    <t>94-58406982</t>
  </si>
  <si>
    <t>01019/4758</t>
  </si>
  <si>
    <t>Тошкент вилояти, Охангарон шахри,Саноат зонаси</t>
  </si>
  <si>
    <t>01019000010191K</t>
  </si>
  <si>
    <t>157A0CHP</t>
  </si>
  <si>
    <t>94-58406992</t>
  </si>
  <si>
    <t>Andijon Shaxar Navoiy shox 94 uy 16A xonodon (Bank oldi 24/7)</t>
  </si>
  <si>
    <t>975/1171</t>
  </si>
  <si>
    <t>01171000011710A</t>
  </si>
  <si>
    <t>157A0AFG</t>
  </si>
  <si>
    <t>1108457415</t>
  </si>
  <si>
    <t>00013/1171</t>
  </si>
  <si>
    <t>901116313</t>
  </si>
  <si>
    <t>TBATM028</t>
  </si>
  <si>
    <t>002262004_15632776</t>
  </si>
  <si>
    <t>13-57828664</t>
  </si>
  <si>
    <t>Шахрисабз Шахар Ипак йули кучаси 2 уй</t>
  </si>
  <si>
    <t>901120379</t>
  </si>
  <si>
    <t>00986/2139</t>
  </si>
  <si>
    <t>00989000004461B</t>
  </si>
  <si>
    <t>1570000T</t>
  </si>
  <si>
    <t>00989000009890K</t>
  </si>
  <si>
    <t>157A0AKE</t>
  </si>
  <si>
    <t>Oqsaroy BXO</t>
  </si>
  <si>
    <t>13-59981073</t>
  </si>
  <si>
    <t>Шахрисабз шахар Ипак юли куча Макро савдо уйи ёнида</t>
  </si>
  <si>
    <t>901124698</t>
  </si>
  <si>
    <t>13-57828705</t>
  </si>
  <si>
    <t>00986/2038</t>
  </si>
  <si>
    <t>00989000004461C</t>
  </si>
  <si>
    <t>1570000Q</t>
  </si>
  <si>
    <t>5310177975</t>
  </si>
  <si>
    <t>176600989</t>
  </si>
  <si>
    <t>00989000009890B</t>
  </si>
  <si>
    <t>157A06Q9</t>
  </si>
  <si>
    <t>Amir Temur BXO</t>
  </si>
  <si>
    <t>94-55605806</t>
  </si>
  <si>
    <t>Яккабоғ туман Амир Темур МФЙ Амир Темур кучаси</t>
  </si>
  <si>
    <t>901117297</t>
  </si>
  <si>
    <t>94-58407012</t>
  </si>
  <si>
    <t>009890000044615</t>
  </si>
  <si>
    <t>Chiroqchi BXO</t>
  </si>
  <si>
    <t>13-57828824</t>
  </si>
  <si>
    <t>01019/3941</t>
  </si>
  <si>
    <t>Чироқчи тумани Мустақиллик кўчаси 38-уй</t>
  </si>
  <si>
    <t>90110033911</t>
  </si>
  <si>
    <t>13-59981027</t>
  </si>
  <si>
    <t>00986/2746</t>
  </si>
  <si>
    <t>Шахрисабз Шахар Бустон мфй Ипак юли кучаси 46-уй</t>
  </si>
  <si>
    <t>90110034365</t>
  </si>
  <si>
    <t>13-59981069</t>
  </si>
  <si>
    <t>901124697</t>
  </si>
  <si>
    <t>13-57828678</t>
  </si>
  <si>
    <t>00986/2228</t>
  </si>
  <si>
    <t>Шахрисабз Шахар Ипак юли кучаси 100-Д уй</t>
  </si>
  <si>
    <t>009890000098902</t>
  </si>
  <si>
    <t>157A059S</t>
  </si>
  <si>
    <t>94-55605800</t>
  </si>
  <si>
    <t>94-55605873</t>
  </si>
  <si>
    <t>901118074</t>
  </si>
  <si>
    <t>00989000004461P</t>
  </si>
  <si>
    <t>157AO55R</t>
  </si>
  <si>
    <t>2718258</t>
  </si>
  <si>
    <t>TBATM025</t>
  </si>
  <si>
    <t>1719339</t>
  </si>
  <si>
    <t>209700989</t>
  </si>
  <si>
    <t>TBATM052</t>
  </si>
  <si>
    <t>Olchazor bozori</t>
  </si>
  <si>
    <t>1108457425</t>
  </si>
  <si>
    <t>1108457421</t>
  </si>
  <si>
    <t>Irrigatsiya instituti</t>
  </si>
  <si>
    <t>Portobello mehmonhonasi</t>
  </si>
  <si>
    <t>13-55551662</t>
  </si>
  <si>
    <t>01083-929</t>
  </si>
  <si>
    <t>Yashnobod t, Qorasuv ko'chasi 4 uy</t>
  </si>
  <si>
    <t>901115099</t>
  </si>
  <si>
    <t>1108457406</t>
  </si>
  <si>
    <t>01083-934</t>
  </si>
  <si>
    <t>01083000010830S</t>
  </si>
  <si>
    <t>157A0AFR</t>
  </si>
  <si>
    <t>01083-931</t>
  </si>
  <si>
    <t>TBATM005</t>
  </si>
  <si>
    <t>13-57828829</t>
  </si>
  <si>
    <t>01083-451</t>
  </si>
  <si>
    <t>Yashnobod t, Beshariq ko'chasi 115 uy</t>
  </si>
  <si>
    <t>901120448</t>
  </si>
  <si>
    <t>5310177390</t>
  </si>
  <si>
    <t>01083-534</t>
  </si>
  <si>
    <t>01083000010830A</t>
  </si>
  <si>
    <t>157A05AV</t>
  </si>
  <si>
    <t>1219339</t>
  </si>
  <si>
    <t>01083-423</t>
  </si>
  <si>
    <t>TBATM044</t>
  </si>
  <si>
    <t>5310177991</t>
  </si>
  <si>
    <t>01083-537</t>
  </si>
  <si>
    <t>Yashnobod t, Botkina ko'chasi 119 uy</t>
  </si>
  <si>
    <t>01083000010830Е</t>
  </si>
  <si>
    <t>157A05ZV</t>
  </si>
  <si>
    <t>13-57828698</t>
  </si>
  <si>
    <t>328/01154</t>
  </si>
  <si>
    <t>Mirzo Ulug'bek t, Kari Niyazov ko'chasi 39 uy</t>
  </si>
  <si>
    <t>1108457437</t>
  </si>
  <si>
    <t>2021-295</t>
  </si>
  <si>
    <t>01154000011540S</t>
  </si>
  <si>
    <t>157A0B28</t>
  </si>
  <si>
    <t>919339</t>
  </si>
  <si>
    <t>473/01154</t>
  </si>
  <si>
    <t>TBATM046</t>
  </si>
  <si>
    <t>13-52882247</t>
  </si>
  <si>
    <t>2018-444</t>
  </si>
  <si>
    <t>Kesh baxt savdo majmuasi</t>
  </si>
  <si>
    <t>Taxiatash BXO</t>
  </si>
  <si>
    <t>Taxiatash guzari</t>
  </si>
  <si>
    <t>13-55605799</t>
  </si>
  <si>
    <t>Jizzax shahar Islom karimov ko'chasi 62-uy</t>
  </si>
  <si>
    <t>13-52882253</t>
  </si>
  <si>
    <t>901114178</t>
  </si>
  <si>
    <t>13-54969407</t>
  </si>
  <si>
    <t>13-57828710</t>
  </si>
  <si>
    <t>00982000009820E</t>
  </si>
  <si>
    <t>157A05A7</t>
  </si>
  <si>
    <t>00982000009820X</t>
  </si>
  <si>
    <t>157A0AJX</t>
  </si>
  <si>
    <t>TBATM022</t>
  </si>
  <si>
    <t>Baxmal BXO</t>
  </si>
  <si>
    <t>13-57828694</t>
  </si>
  <si>
    <t>Baxmal tumani O'smat SHFY Mustaqillik ko'chasi 4-uy</t>
  </si>
  <si>
    <t>00982000009820H</t>
  </si>
  <si>
    <t>157A05YP</t>
  </si>
  <si>
    <t>TBATM065</t>
  </si>
  <si>
    <t>13-59981047</t>
  </si>
  <si>
    <t>Jizzax shahar Ko'k bozor xududida</t>
  </si>
  <si>
    <t>13-57828704</t>
  </si>
  <si>
    <t>TBATM050</t>
  </si>
  <si>
    <t>94-58407000</t>
  </si>
  <si>
    <t>0098200000982215</t>
  </si>
  <si>
    <t>157A0CZN</t>
  </si>
  <si>
    <t>00982000009820G</t>
  </si>
  <si>
    <t>157A05YM</t>
  </si>
  <si>
    <t>00982000009820O</t>
  </si>
  <si>
    <t>157A073M</t>
  </si>
  <si>
    <t>94-58406998</t>
  </si>
  <si>
    <t>Zomin tumani Osma Ko'prik</t>
  </si>
  <si>
    <t>009820000044618</t>
  </si>
  <si>
    <t>1570000H</t>
  </si>
  <si>
    <t>Ko‘kbozor 24/7</t>
  </si>
  <si>
    <t>Zomin osma ko‘prik</t>
  </si>
  <si>
    <t>Jarqo‘rg‘on BXO</t>
  </si>
  <si>
    <t>Guliver</t>
  </si>
  <si>
    <t>Zarmanoq</t>
  </si>
  <si>
    <t>Chorsu dehqon bozori</t>
  </si>
  <si>
    <t>Navbahor BXO</t>
  </si>
  <si>
    <t>Xatirchi BXO</t>
  </si>
  <si>
    <t>Nurafshon BXO</t>
  </si>
  <si>
    <t>Vafobek market</t>
  </si>
  <si>
    <t>22-maktab 24/7</t>
  </si>
  <si>
    <t>Yangibozor</t>
  </si>
  <si>
    <t>Qiziltepa</t>
  </si>
  <si>
    <t>Zarafshon mehmonhonasi</t>
  </si>
  <si>
    <t>13-59981035</t>
  </si>
  <si>
    <t>13-57828715</t>
  </si>
  <si>
    <t>94-58407002</t>
  </si>
  <si>
    <t>94-58406974</t>
  </si>
  <si>
    <t>13-57828683</t>
  </si>
  <si>
    <t>94-58406981</t>
  </si>
  <si>
    <t>94-55605791</t>
  </si>
  <si>
    <t>13-55551691</t>
  </si>
  <si>
    <t>13-57828691</t>
  </si>
  <si>
    <t>94-58407009</t>
  </si>
  <si>
    <t>13-55551775</t>
  </si>
  <si>
    <t>94-58407007</t>
  </si>
  <si>
    <t>13-59981074</t>
  </si>
  <si>
    <t>13-52882246</t>
  </si>
  <si>
    <t>94-58406994</t>
  </si>
  <si>
    <t>00200-1559-69</t>
  </si>
  <si>
    <t>626/2020</t>
  </si>
  <si>
    <t>00200-1499</t>
  </si>
  <si>
    <t>004465728</t>
  </si>
  <si>
    <t>00200-792-042-02</t>
  </si>
  <si>
    <t>00200-1555-66</t>
  </si>
  <si>
    <t>002002369-29</t>
  </si>
  <si>
    <t>00200-793-014</t>
  </si>
  <si>
    <t>00200-1554-65</t>
  </si>
  <si>
    <t>00200-811-52</t>
  </si>
  <si>
    <t>00200-614-024</t>
  </si>
  <si>
    <t>631/2020</t>
  </si>
  <si>
    <t>00200-440-024</t>
  </si>
  <si>
    <t>624/2020</t>
  </si>
  <si>
    <t>00200-794-042</t>
  </si>
  <si>
    <t>00200-1556-67</t>
  </si>
  <si>
    <t>660/2020</t>
  </si>
  <si>
    <t>00200-531-025</t>
  </si>
  <si>
    <t>00200-1557-68</t>
  </si>
  <si>
    <t>00200-1560-70</t>
  </si>
  <si>
    <t>00200-4000-28</t>
  </si>
  <si>
    <t>625/2020</t>
  </si>
  <si>
    <t>002002369-21</t>
  </si>
  <si>
    <t>00200-456-024</t>
  </si>
  <si>
    <t>00200-455-3</t>
  </si>
  <si>
    <t>Nav. Sh. M.Tarobiy 55t uy (BXM yangi binosi yonida)</t>
  </si>
  <si>
    <t>00200000002000C</t>
  </si>
  <si>
    <t>157A05AP</t>
  </si>
  <si>
    <t>002000000020013</t>
  </si>
  <si>
    <t>157A0AK4</t>
  </si>
  <si>
    <t>TBATM070</t>
  </si>
  <si>
    <t>Navbahor tumani Kelachi MFY A.Navoiy ko'chasi</t>
  </si>
  <si>
    <t>00200000002001J</t>
  </si>
  <si>
    <t>157A0BZ6</t>
  </si>
  <si>
    <t>Xatirchi tumani Paraxun MFY P.Shoyir ko'chasi</t>
  </si>
  <si>
    <t>00200000002001H</t>
  </si>
  <si>
    <t>157A0BYK</t>
  </si>
  <si>
    <t>Karmana t. I. Karimov ko'chasi 3a uy (ped kollej yonida)</t>
  </si>
  <si>
    <t>00200000002000J</t>
  </si>
  <si>
    <t>157A0628</t>
  </si>
  <si>
    <t>TBATM037</t>
  </si>
  <si>
    <t>Karmana t. Katta Machit MFY Vafobek supermarket oldi</t>
  </si>
  <si>
    <t>00200000002000K</t>
  </si>
  <si>
    <t>157A0630</t>
  </si>
  <si>
    <t>Nav. Sh. M.Tarobiy 144 uy Garden city mehmonhona oldi</t>
  </si>
  <si>
    <t>00200000002001I</t>
  </si>
  <si>
    <t>157A0BZ5</t>
  </si>
  <si>
    <t>TBATM053</t>
  </si>
  <si>
    <t>Navoiy sh. Buyum bozori</t>
  </si>
  <si>
    <t xml:space="preserve">00200000002001L </t>
  </si>
  <si>
    <t>157A0CGW</t>
  </si>
  <si>
    <t>Навоий вил Қизилтепа тумани гулбог МФЙ худудида жойлашган</t>
  </si>
  <si>
    <t>Nav. Sh. Nizomiy 28 (Eski Turonbank binosi yonida)</t>
  </si>
  <si>
    <t>00200000002000G</t>
  </si>
  <si>
    <t>157A05YD</t>
  </si>
  <si>
    <t>00200000002001M</t>
  </si>
  <si>
    <t>157A0DOC</t>
  </si>
  <si>
    <t>TBATM014</t>
  </si>
  <si>
    <t>Nav. Sh. Navoiy ko'ch. Zarafshon mehmonxonasi yonida</t>
  </si>
  <si>
    <t>TBATM012</t>
  </si>
  <si>
    <t>Kattaqo‘rg‘on BXO</t>
  </si>
  <si>
    <t>Loyish BXO</t>
  </si>
  <si>
    <t>Marhabo BXO</t>
  </si>
  <si>
    <t>Ravot</t>
  </si>
  <si>
    <t>Kombinat</t>
  </si>
  <si>
    <t>Bog‘onali</t>
  </si>
  <si>
    <t>Bog‘isaroy</t>
  </si>
  <si>
    <t>Yuksalish</t>
  </si>
  <si>
    <t>Sateppo</t>
  </si>
  <si>
    <t>00282/2001,2002/01</t>
  </si>
  <si>
    <t>Samarqand shahar Mirzo Ulug'bek k 62-a</t>
  </si>
  <si>
    <t>002820000028209</t>
  </si>
  <si>
    <t>157A05AN</t>
  </si>
  <si>
    <t>00282/117</t>
  </si>
  <si>
    <t>00282/13/01</t>
  </si>
  <si>
    <t>TBATM015</t>
  </si>
  <si>
    <t>94-58407005</t>
  </si>
  <si>
    <t>00282/111</t>
  </si>
  <si>
    <t xml:space="preserve">Kattaqo'rg'on tumani M Ulug'bek MFY A. Navoiy ko'chasi </t>
  </si>
  <si>
    <t>00282000002821P</t>
  </si>
  <si>
    <t>157A0BZQ</t>
  </si>
  <si>
    <t>13-59981078</t>
  </si>
  <si>
    <t>00282/110</t>
  </si>
  <si>
    <t>901124721</t>
  </si>
  <si>
    <t>00282/2001,2002/02</t>
  </si>
  <si>
    <t>Oqdaryo tumani Loyish shaharchasi A.Temur ko'chasi 19-uy</t>
  </si>
  <si>
    <t>00282000002820B</t>
  </si>
  <si>
    <t>157A0607</t>
  </si>
  <si>
    <t>94-55605802</t>
  </si>
  <si>
    <t>00282/29</t>
  </si>
  <si>
    <t>901118376</t>
  </si>
  <si>
    <t>00282/4028</t>
  </si>
  <si>
    <t>Samarqand shahar B.I.yo'li ko'chasi 65 uy</t>
  </si>
  <si>
    <t>00282000002820J</t>
  </si>
  <si>
    <t>157A0748</t>
  </si>
  <si>
    <t>13-57828681</t>
  </si>
  <si>
    <t>00282/1665-1668/02</t>
  </si>
  <si>
    <t>Pasdarg'om tumani Ravot MFY</t>
  </si>
  <si>
    <t>901120737</t>
  </si>
  <si>
    <t>5310177331</t>
  </si>
  <si>
    <t>00282/1340</t>
  </si>
  <si>
    <t>Pasdarg'om tumani O‘rta charxin mfy</t>
  </si>
  <si>
    <t>00282000002821H</t>
  </si>
  <si>
    <t>157A0AVM</t>
  </si>
  <si>
    <t>13-59981075</t>
  </si>
  <si>
    <t>00282/1665-1668/03</t>
  </si>
  <si>
    <t>Pasdarg'om tumani Bolgali MFY</t>
  </si>
  <si>
    <t>00282/2020-13</t>
  </si>
  <si>
    <t>Samarqand shahar Spitamen shox ko'chasi 18 uy</t>
  </si>
  <si>
    <t>00282000002821I</t>
  </si>
  <si>
    <t>157A0AVN</t>
  </si>
  <si>
    <t>00282/4030</t>
  </si>
  <si>
    <t>00282000002820A</t>
  </si>
  <si>
    <t>157A05BF</t>
  </si>
  <si>
    <t>13-57828719</t>
  </si>
  <si>
    <t>00282/110/1</t>
  </si>
  <si>
    <t>Samarqand tumani Super qurgoni</t>
  </si>
  <si>
    <t>94-55605798</t>
  </si>
  <si>
    <t>00282/1662/02</t>
  </si>
  <si>
    <t>Samarqand sh Turkiston ko'chasi</t>
  </si>
  <si>
    <t>901117351</t>
  </si>
  <si>
    <t>00282/1660</t>
  </si>
  <si>
    <t>901114260</t>
  </si>
  <si>
    <t>00282/1661/01</t>
  </si>
  <si>
    <t>901114267</t>
  </si>
  <si>
    <t>00282/13/02</t>
  </si>
  <si>
    <t>Hyusong</t>
  </si>
  <si>
    <t>1108457418</t>
  </si>
  <si>
    <t>004466574</t>
  </si>
  <si>
    <t>004465729</t>
  </si>
  <si>
    <t>Toshkent shahri Shayxontoxur tumani Abay ko`chasi 4a-uy</t>
  </si>
  <si>
    <t>004460000044618</t>
  </si>
  <si>
    <t>TBATM001</t>
  </si>
  <si>
    <t>157A0A7I</t>
  </si>
  <si>
    <t>Oliy majlis (Ombutsman)</t>
  </si>
  <si>
    <t>Oliy majlis (Palata)</t>
  </si>
  <si>
    <t>Oliy majlis (Bino)</t>
  </si>
  <si>
    <t>Adliya vazirligi</t>
  </si>
  <si>
    <t>Adliya vazirligi DXM</t>
  </si>
  <si>
    <t>Gidroproekt</t>
  </si>
  <si>
    <t>Uzbekgidroenergiya</t>
  </si>
  <si>
    <t>Zalal muvaffaq (Angren)</t>
  </si>
  <si>
    <t>Zalal muvaffaq (Sarakulka)</t>
  </si>
  <si>
    <t>Alfraganus Universiteti</t>
  </si>
  <si>
    <t>Prokuratura</t>
  </si>
  <si>
    <t>Turist.uz</t>
  </si>
  <si>
    <t>Metropoliten (Alisher Navoiy - Paxtakor)</t>
  </si>
  <si>
    <t>Shaharsozlik hujjatlari ekspertizasi</t>
  </si>
  <si>
    <t>Energoqurilishindustriya</t>
  </si>
  <si>
    <t>13-57828696</t>
  </si>
  <si>
    <t>004465684</t>
  </si>
  <si>
    <t>01019/4065</t>
  </si>
  <si>
    <t>901122319</t>
  </si>
  <si>
    <t>TBATM068</t>
  </si>
  <si>
    <t>Toshkent shaxar Mirobod tumani Islom Karimov ko`chasi 9-uy Oliy Majlis Senati Binosi</t>
  </si>
  <si>
    <t>1570000W</t>
  </si>
  <si>
    <t>004466018</t>
  </si>
  <si>
    <t>01084000010841C</t>
  </si>
  <si>
    <t>94-58407003</t>
  </si>
  <si>
    <t>TBATM060</t>
  </si>
  <si>
    <t>01084/470</t>
  </si>
  <si>
    <t>Toshkent shaxar Chilonzor tumani Bunyodkor ko'chasi 1-uy Qonunchilik palatasi</t>
  </si>
  <si>
    <t>13-57828673</t>
  </si>
  <si>
    <t>Toshkent shaxar Chilonzor tumani Furqat ko'chasi 171-uy Binolardan Foydalanish</t>
  </si>
  <si>
    <t>YS45403347</t>
  </si>
  <si>
    <t xml:space="preserve">Toshkent shaxar Yunusobod tumani Sayilgox ko`chasi 5-uy Adliya Vazirligi </t>
  </si>
  <si>
    <t>01084/497</t>
  </si>
  <si>
    <t>00446000004462H</t>
  </si>
  <si>
    <t>YS45403360</t>
  </si>
  <si>
    <t>004467310</t>
  </si>
  <si>
    <t>Toshkent shaxar Yunusobod tumani Navoiy ko`chasi 1a-uy</t>
  </si>
  <si>
    <t>901126460</t>
  </si>
  <si>
    <t xml:space="preserve">Toshkent shaxar Yakkasaroy tumani Bobur ko`chasi 20-uy Gidroproekt </t>
  </si>
  <si>
    <t>157A05JA</t>
  </si>
  <si>
    <t>01084/622</t>
  </si>
  <si>
    <t>004467405</t>
  </si>
  <si>
    <t>004462020-55</t>
  </si>
  <si>
    <t>00446000004460J</t>
  </si>
  <si>
    <t>TBATM043</t>
  </si>
  <si>
    <t>13-57828723</t>
  </si>
  <si>
    <t xml:space="preserve">Toshkent shaxar Shayxontoxur tumani A.Navoiy ko`chasi 22-uy </t>
  </si>
  <si>
    <t>01083-454</t>
  </si>
  <si>
    <t>00446/461149-1</t>
  </si>
  <si>
    <t>004460000044654</t>
  </si>
  <si>
    <t>1570001R</t>
  </si>
  <si>
    <t>901124667</t>
  </si>
  <si>
    <t>13-59981125</t>
  </si>
  <si>
    <t>Toshkent shaxar Mirobod tumani Temiryo'lchilar 2 uy</t>
  </si>
  <si>
    <t>Toshkent shaxar Yunsobod tumani Yuqori qora qamish 5 uy</t>
  </si>
  <si>
    <t>YS45403349</t>
  </si>
  <si>
    <t>Toshkent shaxar Shayxontohur tumani Kichik xalqa yoli Labzak 54 uy</t>
  </si>
  <si>
    <t>01144-803</t>
  </si>
  <si>
    <t>13-57828726</t>
  </si>
  <si>
    <t>Toshkent shaxri Mirobod tumani Mirobod ko`chasi 5/1-uy Turist Uz</t>
  </si>
  <si>
    <t>TBATM064</t>
  </si>
  <si>
    <t>01084/503</t>
  </si>
  <si>
    <t>Toshkent shaxar Shayhontoxur tumani Botir zokirov ko'chasi Metropoliten</t>
  </si>
  <si>
    <t>157A0AFH</t>
  </si>
  <si>
    <t>2021-278</t>
  </si>
  <si>
    <t>01154000011540P</t>
  </si>
  <si>
    <t xml:space="preserve">Toshkent shaxar Yangi toshkent Shaxarsozlik hujjatlari ekspertizasi </t>
  </si>
  <si>
    <t>YS45403367</t>
  </si>
  <si>
    <t>Toshkent viloyati,Bo'stonliq tumani Narpay qishlog'i</t>
  </si>
  <si>
    <t>004465710</t>
  </si>
  <si>
    <t>901120585</t>
  </si>
  <si>
    <t>Toshkent shaxar shayhontoxur tumani Abdulla Qodiriy ko'chasi</t>
  </si>
  <si>
    <t>00446000004460U</t>
  </si>
  <si>
    <t>BXM 24/7</t>
  </si>
  <si>
    <t>Eski BXM 24/7</t>
  </si>
  <si>
    <t>Parvoz BXO</t>
  </si>
  <si>
    <t>BXO 24/7</t>
  </si>
  <si>
    <t>TDIU Universiteti 24/7</t>
  </si>
  <si>
    <t>Chilonzor tumani Farhod ko'chasi 6A uy</t>
  </si>
  <si>
    <t>157A0B4A</t>
  </si>
  <si>
    <t>TBATM051</t>
  </si>
  <si>
    <t>901124747</t>
  </si>
  <si>
    <t>901115102</t>
  </si>
  <si>
    <t>901120446</t>
  </si>
  <si>
    <t>13-54969412</t>
  </si>
  <si>
    <t>1108457404</t>
  </si>
  <si>
    <t>1108457414</t>
  </si>
  <si>
    <t>157A0AFJ</t>
  </si>
  <si>
    <t>01084000010840Z</t>
  </si>
  <si>
    <t>2418258</t>
  </si>
  <si>
    <t>TBATM003</t>
  </si>
  <si>
    <t>M.Gafurova ko'chasi, TDIU</t>
  </si>
  <si>
    <t>901124758</t>
  </si>
  <si>
    <t>Farobiy BXO</t>
  </si>
  <si>
    <t>Тошкент ш. Шайхонтохур т. Фаробий-24 да ташкил этилган Фаробий БХО 24/7</t>
  </si>
  <si>
    <t>TBATM062</t>
  </si>
  <si>
    <t>01144-300</t>
  </si>
  <si>
    <t>01144-589</t>
  </si>
  <si>
    <t>94-55605792</t>
  </si>
  <si>
    <t>Shamsan mehmonhonasi</t>
  </si>
  <si>
    <t>13-52882257</t>
  </si>
  <si>
    <t>1893/1</t>
  </si>
  <si>
    <t>Mirobod  tumani Farg'ona yo'li ko`chasi 2a-uy</t>
  </si>
  <si>
    <t>00986/2490</t>
  </si>
  <si>
    <t>157A05ZS</t>
  </si>
  <si>
    <t>009860000009860A</t>
  </si>
  <si>
    <t>Mirobod  tumani Yangi Quyliq  1b-uy</t>
  </si>
  <si>
    <t>Toshkent shahri Yashnobod tumani  Parkent ko`chasi 74-uy</t>
  </si>
  <si>
    <t>157A05AX</t>
  </si>
  <si>
    <t>TBATM059</t>
  </si>
  <si>
    <t>2019-168</t>
  </si>
  <si>
    <t>01083-528</t>
  </si>
  <si>
    <t>01083-427</t>
  </si>
  <si>
    <t>01083000010830C</t>
  </si>
  <si>
    <t>94-55605805</t>
  </si>
  <si>
    <t>Toshkent shahri Mirzo Ulug'bek tumani Buyuk Ipak Yo'li kochasi 218-220</t>
  </si>
  <si>
    <t>TBATM006</t>
  </si>
  <si>
    <t>2020-10/01154</t>
  </si>
  <si>
    <t>125/01154</t>
  </si>
  <si>
    <t>13-55551764</t>
  </si>
  <si>
    <t>Toshkent shahri Yashnobod tumani  Qorasuv ko`chasi 4-uy</t>
  </si>
  <si>
    <t>TBATM061</t>
  </si>
  <si>
    <t>TBATM004</t>
  </si>
  <si>
    <t>01144-199</t>
  </si>
  <si>
    <t>01144-922</t>
  </si>
  <si>
    <t>01144-588</t>
  </si>
  <si>
    <t>01144-202</t>
  </si>
  <si>
    <t>13-55551654</t>
  </si>
  <si>
    <t>Sergeli tumani 5-mavzei Yangi quyliq 28a-uy</t>
  </si>
  <si>
    <t>157A0AFO</t>
  </si>
  <si>
    <t>TBATM067</t>
  </si>
  <si>
    <t>00986/1927</t>
  </si>
  <si>
    <t>00986/2493</t>
  </si>
  <si>
    <t>00986/2240</t>
  </si>
  <si>
    <t>00986000009860W</t>
  </si>
  <si>
    <t>94-55605811</t>
  </si>
  <si>
    <t>Bank omborida Qoplonbe usta kerak ishlash uchun</t>
  </si>
  <si>
    <t>Bank Omborida</t>
  </si>
  <si>
    <t>Bank Omborida Adliya vazirligi eski</t>
  </si>
  <si>
    <t>Bank Omborida Malika Uzcard eski</t>
  </si>
  <si>
    <t xml:space="preserve">Bank Omborida MCHS Uzcard </t>
  </si>
  <si>
    <t>Uzbekgidroenergiya eski</t>
  </si>
  <si>
    <t>Toshkent shaxar Chilonzor tumani Furqat ko'chasi 6a-uy Binolardan Foydalanish</t>
  </si>
  <si>
    <t>TBATM055</t>
  </si>
  <si>
    <t>157A05JB</t>
  </si>
  <si>
    <t>157A0A6J</t>
  </si>
  <si>
    <t>157A05AG</t>
  </si>
  <si>
    <t>TBATM058</t>
  </si>
  <si>
    <t>TBATM063</t>
  </si>
  <si>
    <t>TBATM054</t>
  </si>
  <si>
    <t>004466563</t>
  </si>
  <si>
    <t>004465683</t>
  </si>
  <si>
    <t>01084/499</t>
  </si>
  <si>
    <t>004465839</t>
  </si>
  <si>
    <t>2020-11/01154</t>
  </si>
  <si>
    <t>01083-425</t>
  </si>
  <si>
    <t>01084/504</t>
  </si>
  <si>
    <t>2020-16/01154</t>
  </si>
  <si>
    <t>004466562</t>
  </si>
  <si>
    <t>01084/1123</t>
  </si>
  <si>
    <t>00446000004460K</t>
  </si>
  <si>
    <t>00446000004460H</t>
  </si>
  <si>
    <t>13-57828697</t>
  </si>
  <si>
    <t>13-57828823</t>
  </si>
  <si>
    <t>13-59981044</t>
  </si>
  <si>
    <t>Toshkent shahri  tumani Abay ko`chasi 4a-uy</t>
  </si>
  <si>
    <t>338</t>
  </si>
  <si>
    <t>339</t>
  </si>
  <si>
    <t>340</t>
  </si>
  <si>
    <t>341</t>
  </si>
  <si>
    <t>342</t>
  </si>
  <si>
    <t>343</t>
  </si>
  <si>
    <t>Mirishkor BXO</t>
  </si>
  <si>
    <t>Farhod BXO</t>
  </si>
  <si>
    <t>Koson</t>
  </si>
  <si>
    <t>Javohir medical klinikasi</t>
  </si>
  <si>
    <t>13-54969410</t>
  </si>
  <si>
    <t>Qarshi shahar Komilon ko'chasi 28-A uy</t>
  </si>
  <si>
    <t>13-57828669</t>
  </si>
  <si>
    <t>5310177426</t>
  </si>
  <si>
    <t>1920000019202</t>
  </si>
  <si>
    <t>157A05AT</t>
  </si>
  <si>
    <t>00192000001920T</t>
  </si>
  <si>
    <t>157A0AKF</t>
  </si>
  <si>
    <t>Mirishkor tumani А.Temur ko'chasi 6-uy</t>
  </si>
  <si>
    <t>1920000019203</t>
  </si>
  <si>
    <t>157A05AU</t>
  </si>
  <si>
    <t>13-57828652</t>
  </si>
  <si>
    <t>13-57828679</t>
  </si>
  <si>
    <t>Qarshi shahar Islom karimov ko'chasi 13-uy</t>
  </si>
  <si>
    <t>00192000001920A</t>
  </si>
  <si>
    <t>157A05ZE</t>
  </si>
  <si>
    <t>13-59981121</t>
  </si>
  <si>
    <t>Qarshi shahar Farhod bozori</t>
  </si>
  <si>
    <t>157A0C29</t>
  </si>
  <si>
    <t>Koson tumani Navbahor MFY Sh. Rashidov ko'chasi</t>
  </si>
  <si>
    <t>157A06XF</t>
  </si>
  <si>
    <t>Qarshi shahar Xontepa MFY Burgut ko'chasi</t>
  </si>
  <si>
    <t>Qarshi shahri Nasaf ko'chasi Grand savdo do'koni oldida</t>
  </si>
  <si>
    <t>157A0C8M</t>
  </si>
  <si>
    <t>TBATM035</t>
  </si>
  <si>
    <t>YS45403483</t>
  </si>
  <si>
    <t>0000000110521</t>
  </si>
  <si>
    <t>90110038049</t>
  </si>
  <si>
    <t>YS45403348</t>
  </si>
  <si>
    <t>0000000110561</t>
  </si>
  <si>
    <t>90110038101</t>
  </si>
  <si>
    <t>00192/1902_15959213</t>
  </si>
  <si>
    <t>00192/1801/49</t>
  </si>
  <si>
    <t>00192/1369/2</t>
  </si>
  <si>
    <t>1108457423</t>
  </si>
  <si>
    <t>00192/1658</t>
  </si>
  <si>
    <t>00192/2511</t>
  </si>
  <si>
    <t>00192/2513</t>
  </si>
  <si>
    <t>00192/1372</t>
  </si>
  <si>
    <t>00192/1370/1</t>
  </si>
  <si>
    <t>00192/1803</t>
  </si>
  <si>
    <t>00192/1371</t>
  </si>
  <si>
    <t>94-58406979</t>
  </si>
  <si>
    <t>00192/1803/1</t>
  </si>
  <si>
    <t>00192/2510</t>
  </si>
  <si>
    <t>00192/1800/1</t>
  </si>
  <si>
    <t>94-58406999</t>
  </si>
  <si>
    <t>00192/1784/1</t>
  </si>
  <si>
    <t>Kompleks market BXO</t>
  </si>
  <si>
    <t>YS45403342</t>
  </si>
  <si>
    <t>0000000110571</t>
  </si>
  <si>
    <t>90110038090</t>
  </si>
  <si>
    <t>YS45403381</t>
  </si>
  <si>
    <t>0000000110461</t>
  </si>
  <si>
    <t>Давлатобод тумани Умид МФЙ И.Каримов кучаси 21 уй</t>
  </si>
  <si>
    <t>YS45403358</t>
  </si>
  <si>
    <t>0000000110491</t>
  </si>
  <si>
    <t>TBATM016</t>
  </si>
  <si>
    <t>YS45403359</t>
  </si>
  <si>
    <t>90110038076</t>
  </si>
  <si>
    <t>Grand almaz to‘yxonasi</t>
  </si>
  <si>
    <t>Termiz shaxar Taraqqiyot ko`chasi 40 uy 24/7</t>
  </si>
  <si>
    <t>YS45403363</t>
  </si>
  <si>
    <t>0000000110551</t>
  </si>
  <si>
    <t>90110038137</t>
  </si>
  <si>
    <t>Shohimardon</t>
  </si>
  <si>
    <t>YS45403340</t>
  </si>
  <si>
    <t>0000000110451</t>
  </si>
  <si>
    <t>YS45403325</t>
  </si>
  <si>
    <t>0000000110441</t>
  </si>
  <si>
    <t>Фаргона ш   Марифат 44 уй  ШОХМАРДОН</t>
  </si>
  <si>
    <t>YS45403401</t>
  </si>
  <si>
    <t>0000000110531</t>
  </si>
  <si>
    <t>УЗБЕКИСТАН, ХОРЕЗМСКАЯ обл, УРГЕНЧ г., XONQA ул., дом 104A</t>
  </si>
  <si>
    <t>90110038111</t>
  </si>
  <si>
    <t>YS45403352</t>
  </si>
  <si>
    <t>NUKUS G., T.KAYYPBERGENOV UL., DOM 25A</t>
  </si>
  <si>
    <t>YS45403534</t>
  </si>
  <si>
    <t>0000000110481</t>
  </si>
  <si>
    <t>УЗБЕКИСТАН, JIZZAX обл, JIZZAX г., ISLOM KARIMOV KO'CHASI ул., дом 62</t>
  </si>
  <si>
    <t>90110038100</t>
  </si>
  <si>
    <t>YS45403329</t>
  </si>
  <si>
    <t>90110038143</t>
  </si>
  <si>
    <t>YS45403452</t>
  </si>
  <si>
    <t>0000000110471</t>
  </si>
  <si>
    <t>ZANGIATA GP, ESHONGUZAR GP, MUSTAQILLIK UL., DOM 2</t>
  </si>
  <si>
    <t>90110038078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</si>
  <si>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</si>
  <si>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</si>
  <si>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</si>
  <si>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</si>
  <si>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</si>
  <si>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</si>
  <si>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</si>
  <si>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</si>
  <si>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</si>
  <si>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</si>
  <si>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</si>
  <si>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</si>
  <si>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</si>
  <si>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</si>
  <si>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318258</t>
  </si>
  <si>
    <t>218258</t>
  </si>
  <si>
    <t>TBATM011</t>
  </si>
  <si>
    <t>918258</t>
  </si>
  <si>
    <t>1818258</t>
  </si>
  <si>
    <t>818258</t>
  </si>
  <si>
    <t>2108258</t>
  </si>
  <si>
    <t>TBATM045</t>
  </si>
  <si>
    <t>2219353</t>
  </si>
  <si>
    <t>TBATM047</t>
  </si>
  <si>
    <t>1108457420</t>
  </si>
  <si>
    <t>1108457435</t>
  </si>
  <si>
    <t>1108457405</t>
  </si>
  <si>
    <t>1108457434</t>
  </si>
  <si>
    <t>1108457416</t>
  </si>
  <si>
    <t>YS45403333</t>
  </si>
  <si>
    <t>0000000110581</t>
  </si>
  <si>
    <t>0000000110591</t>
  </si>
  <si>
    <t>0000000110601</t>
  </si>
  <si>
    <t>0000000110621</t>
  </si>
  <si>
    <t>0000000110611</t>
  </si>
  <si>
    <t>0000000110501</t>
  </si>
  <si>
    <t>0000000110541</t>
  </si>
  <si>
    <t>0000000110511</t>
  </si>
  <si>
    <t>5310177691</t>
  </si>
  <si>
    <t>Guliston sh. Yangi xayot mfy Katta qo'rg'on k. 51-uy (Yangi bozor hududidagi 24/7)</t>
  </si>
  <si>
    <t>004460000044617</t>
  </si>
  <si>
    <t>Oliy majlis (Senat)</t>
  </si>
  <si>
    <t>5310177481</t>
  </si>
  <si>
    <t>Тошкент ш. Юнусобод т. Марказ-6 Хуршид к. 85А-уй АТМ 24/7</t>
  </si>
  <si>
    <t>90110037522</t>
  </si>
  <si>
    <t>90110037299</t>
  </si>
  <si>
    <t>5310177969</t>
  </si>
  <si>
    <t>5310177500</t>
  </si>
  <si>
    <t>5310177349</t>
  </si>
  <si>
    <t>5310177319</t>
  </si>
  <si>
    <t>94-58407006</t>
  </si>
  <si>
    <t>94-58406980</t>
  </si>
  <si>
    <t>94-58406988</t>
  </si>
  <si>
    <t>13-57828650</t>
  </si>
  <si>
    <t>13-55551783</t>
  </si>
  <si>
    <t>94-55605796</t>
  </si>
  <si>
    <t>5310177323</t>
  </si>
  <si>
    <t>157A05DK</t>
  </si>
  <si>
    <t>00111000001110A</t>
  </si>
  <si>
    <t>YS45403374</t>
  </si>
  <si>
    <t>0000000110631</t>
  </si>
  <si>
    <t>90110037562</t>
  </si>
  <si>
    <t>ЮКОРИЧИРЧИКСКИЙ рн, ЯНГИБАЗАР гп, YANGI TOSHKENT ул., дом 2</t>
  </si>
  <si>
    <t>Sotib olingan sana</t>
  </si>
  <si>
    <t>Sotib olingan qiymat</t>
  </si>
  <si>
    <t>26.07.2018</t>
  </si>
  <si>
    <t>20.03.2019</t>
  </si>
  <si>
    <t>27.08.2021</t>
  </si>
  <si>
    <t>25.05.2026</t>
  </si>
  <si>
    <t>21.05.2020</t>
  </si>
  <si>
    <t>11.08.2021</t>
  </si>
  <si>
    <t>23.12.2019</t>
  </si>
  <si>
    <t>30.12.2019</t>
  </si>
  <si>
    <t>25.05.2020</t>
  </si>
  <si>
    <t>20.12.2019</t>
  </si>
  <si>
    <t>03.11.2018</t>
  </si>
  <si>
    <t>00111-1946</t>
  </si>
  <si>
    <t>00111-3205</t>
  </si>
  <si>
    <t>12.02.2021</t>
  </si>
  <si>
    <t>14.07.2020</t>
  </si>
  <si>
    <t>18.03.2021</t>
  </si>
  <si>
    <t>03.04.2020</t>
  </si>
  <si>
    <t>03.10.2019</t>
  </si>
  <si>
    <t>29.12.2018</t>
  </si>
  <si>
    <t>23.08.2021</t>
  </si>
  <si>
    <t>20.07.2018</t>
  </si>
  <si>
    <t>00192/2005</t>
  </si>
  <si>
    <t>27.12.2019</t>
  </si>
  <si>
    <t>00192/2006</t>
  </si>
  <si>
    <t>00192/1525/1</t>
  </si>
  <si>
    <t>28.08.2018</t>
  </si>
  <si>
    <t>23.02.2021</t>
  </si>
  <si>
    <t>12.12.2018</t>
  </si>
  <si>
    <t>30.01.2020</t>
  </si>
  <si>
    <t>15.01.2020</t>
  </si>
  <si>
    <t>24.12.2019</t>
  </si>
  <si>
    <t>26.03.2019</t>
  </si>
  <si>
    <t>18.06.2019</t>
  </si>
  <si>
    <t>26.08.2021</t>
  </si>
  <si>
    <t>13.07.2020</t>
  </si>
  <si>
    <t>19.01.2022</t>
  </si>
  <si>
    <t>12.05.2020</t>
  </si>
  <si>
    <t>29.05.2020</t>
  </si>
  <si>
    <t>30.04.2021</t>
  </si>
  <si>
    <t>28.12.2019</t>
  </si>
  <si>
    <t>29.01.2020</t>
  </si>
  <si>
    <t>11.10.2018</t>
  </si>
  <si>
    <t>09.03.2020</t>
  </si>
  <si>
    <t>31.10.2018</t>
  </si>
  <si>
    <t>10.06.2019</t>
  </si>
  <si>
    <t>16.08.2022</t>
  </si>
  <si>
    <t>15.05.2018</t>
  </si>
  <si>
    <t>08.10.2018</t>
  </si>
  <si>
    <t>26.05.2020</t>
  </si>
  <si>
    <t>25.07.2018</t>
  </si>
  <si>
    <t>26.02.2021</t>
  </si>
  <si>
    <t>24.03.2020</t>
  </si>
  <si>
    <t>07.03.2019</t>
  </si>
  <si>
    <t>26.12.2019</t>
  </si>
  <si>
    <t>10.02.2020</t>
  </si>
  <si>
    <t>03.12.2021</t>
  </si>
  <si>
    <t>08.08.2019</t>
  </si>
  <si>
    <t>10.09.2021</t>
  </si>
  <si>
    <t>10.06.2020</t>
  </si>
  <si>
    <t>19.06.2020</t>
  </si>
  <si>
    <t>17.12.2018</t>
  </si>
  <si>
    <t>29.11.2018</t>
  </si>
  <si>
    <t>06.01.2020</t>
  </si>
  <si>
    <t>19.08.2021</t>
  </si>
  <si>
    <t>16.09.2019</t>
  </si>
  <si>
    <t>14.03.2019</t>
  </si>
  <si>
    <t>21.04.2018</t>
  </si>
  <si>
    <t>30.06.2020</t>
  </si>
  <si>
    <t>29.01.2021</t>
  </si>
  <si>
    <t>20.12.2018</t>
  </si>
  <si>
    <t>31.01.2020</t>
  </si>
  <si>
    <t>28.02.2020</t>
  </si>
  <si>
    <t>21.09.2021</t>
  </si>
  <si>
    <t>28.05.2020</t>
  </si>
  <si>
    <t>30.04.2019</t>
  </si>
  <si>
    <t>06.05.2019</t>
  </si>
  <si>
    <t>26.03.2018</t>
  </si>
  <si>
    <t>17.02.2021</t>
  </si>
  <si>
    <t>14.12.2018</t>
  </si>
  <si>
    <t>24.02.2020</t>
  </si>
  <si>
    <t>25.02.2020</t>
  </si>
  <si>
    <t>09.01.2020</t>
  </si>
  <si>
    <t>13.09.2021</t>
  </si>
  <si>
    <t>22.05.2020</t>
  </si>
  <si>
    <t>31.07.2018</t>
  </si>
  <si>
    <t>20.11.2020</t>
  </si>
  <si>
    <t>11.12.2018</t>
  </si>
  <si>
    <t>20.02.2020</t>
  </si>
  <si>
    <t>23.09.2020</t>
  </si>
  <si>
    <t>12.04.2019</t>
  </si>
  <si>
    <t>13.01.2022</t>
  </si>
  <si>
    <t>15.09.2021</t>
  </si>
  <si>
    <t>31.03.2018</t>
  </si>
  <si>
    <t>27.09.2018</t>
  </si>
  <si>
    <t>29.08.2020</t>
  </si>
  <si>
    <t>18.08.2021</t>
  </si>
  <si>
    <t>06.12.2018</t>
  </si>
  <si>
    <t>21.06.2019</t>
  </si>
  <si>
    <t>10.09.2020</t>
  </si>
  <si>
    <t>14.10.2020</t>
  </si>
  <si>
    <t>17.04.2018</t>
  </si>
  <si>
    <t>21.01.2019</t>
  </si>
  <si>
    <t>988/551</t>
  </si>
  <si>
    <t>11.10.2019</t>
  </si>
  <si>
    <t>09.03.2021</t>
  </si>
  <si>
    <t>12.02.2020</t>
  </si>
  <si>
    <t>10.12.2018</t>
  </si>
  <si>
    <t>23.01.2020</t>
  </si>
  <si>
    <t>20.09.2021</t>
  </si>
  <si>
    <t>20.08.2021</t>
  </si>
  <si>
    <t>27.08.2020</t>
  </si>
  <si>
    <t>02.04.2019</t>
  </si>
  <si>
    <t>923/585</t>
  </si>
  <si>
    <t>20.04.2018</t>
  </si>
  <si>
    <t>00982/2415</t>
  </si>
  <si>
    <t>19.03.2021</t>
  </si>
  <si>
    <t>00982/1403</t>
  </si>
  <si>
    <t>01.11.2018</t>
  </si>
  <si>
    <t>00982/1963</t>
  </si>
  <si>
    <t>00982/2182</t>
  </si>
  <si>
    <t>00982/1500</t>
  </si>
  <si>
    <t>00982/1501</t>
  </si>
  <si>
    <t>00982/1818</t>
  </si>
  <si>
    <t>07.01.2020</t>
  </si>
  <si>
    <t>00982/1966</t>
  </si>
  <si>
    <t>00982/2037</t>
  </si>
  <si>
    <t>00982/1360</t>
  </si>
  <si>
    <t>16.03.2018</t>
  </si>
  <si>
    <t>00982/1385</t>
  </si>
  <si>
    <t>30.08.2018</t>
  </si>
  <si>
    <t>00446/492816-4</t>
  </si>
  <si>
    <t>00982/2459</t>
  </si>
  <si>
    <t>31.08.2021</t>
  </si>
  <si>
    <t>00982/2035</t>
  </si>
  <si>
    <t>00982/2036</t>
  </si>
  <si>
    <t>00982/2078</t>
  </si>
  <si>
    <t>10.07.2020</t>
  </si>
  <si>
    <t>00982/2458</t>
  </si>
  <si>
    <t>11.01.2021</t>
  </si>
  <si>
    <t>27.11.2018</t>
  </si>
  <si>
    <t>19.04.2019</t>
  </si>
  <si>
    <t>25.11.2021</t>
  </si>
  <si>
    <t>30.11.2021</t>
  </si>
  <si>
    <t>11.03.2022</t>
  </si>
  <si>
    <t>24.07.2020</t>
  </si>
  <si>
    <t>17.08.2021</t>
  </si>
  <si>
    <t>02.04.2018</t>
  </si>
  <si>
    <t>29.03.2021</t>
  </si>
  <si>
    <t>01.08.2018</t>
  </si>
  <si>
    <t>21.01.2021</t>
  </si>
  <si>
    <t>16.03.2021</t>
  </si>
  <si>
    <t>90110038260</t>
  </si>
  <si>
    <t>SURXONDARYO обл, SARIOSIYO рн, XONJIZA MFY гп, XONJIZA MFY ул., дом 1</t>
  </si>
  <si>
    <t>Xonjizza</t>
  </si>
  <si>
    <t>04.02.2021</t>
  </si>
  <si>
    <t>5310177726</t>
  </si>
  <si>
    <t>94-58406989</t>
  </si>
  <si>
    <t>001920000019210</t>
  </si>
  <si>
    <t>001920000019211</t>
  </si>
  <si>
    <t>Toshkent shaxar Yashnabod tumani,Mirzo Ulug'bek ko'chasi 19-uy</t>
  </si>
  <si>
    <t>94-58406984</t>
  </si>
  <si>
    <t>5310182095</t>
  </si>
  <si>
    <t>Toshkent viloyati Oxangaron tumani promzona 12uy</t>
  </si>
  <si>
    <t>1108457412</t>
  </si>
  <si>
    <t>13-57828665</t>
  </si>
  <si>
    <t>13-59981031</t>
  </si>
  <si>
    <t>004466646</t>
  </si>
  <si>
    <t>00446000004465C</t>
  </si>
  <si>
    <t>13-57828682</t>
  </si>
  <si>
    <t>004462020-12</t>
  </si>
  <si>
    <t>90110037996</t>
  </si>
  <si>
    <t>00446000004465D</t>
  </si>
  <si>
    <t>Farobiy kocha 448 V uy Farobiy BXO</t>
  </si>
  <si>
    <t>Mirobod BXO</t>
  </si>
  <si>
    <t>Sazanchik</t>
  </si>
  <si>
    <t>Toshkent shahar Shayhontohur tumani Labzak kochasi</t>
  </si>
  <si>
    <t>901120497</t>
  </si>
  <si>
    <t>Adliya (Adolat markazi)</t>
  </si>
  <si>
    <t>Toshkent shahar Yunsobod tumani Amir Temur shoh kochasi 19 uy</t>
  </si>
  <si>
    <t>901124756</t>
  </si>
  <si>
    <t>Toshkent shahri Olmazor tumani Zarqaynar ko`chasi 75-uy</t>
  </si>
  <si>
    <t>1570001T</t>
  </si>
  <si>
    <t>13-59981041</t>
  </si>
  <si>
    <t>901124787</t>
  </si>
  <si>
    <t>13-55551549</t>
  </si>
  <si>
    <t>901115623</t>
  </si>
  <si>
    <t>Bank omborida chilonzorda</t>
  </si>
  <si>
    <t>Mavjud emas</t>
  </si>
  <si>
    <t>901114262</t>
  </si>
  <si>
    <t>157A0AFP</t>
  </si>
  <si>
    <t>00986000009860V</t>
  </si>
  <si>
    <t>Imkoni yo‘q</t>
  </si>
  <si>
    <t>004466080</t>
  </si>
  <si>
    <t>004466081</t>
  </si>
  <si>
    <t>004467155</t>
  </si>
  <si>
    <t>21.12.2020</t>
  </si>
  <si>
    <t>004467248</t>
  </si>
  <si>
    <t>11.05.2021</t>
  </si>
  <si>
    <t>10.06.2022</t>
  </si>
  <si>
    <t>25.06.2019</t>
  </si>
  <si>
    <t>18.02.2021</t>
  </si>
  <si>
    <t>20.01.2020</t>
  </si>
  <si>
    <t>01084/466021-1</t>
  </si>
  <si>
    <t>15.03.2021</t>
  </si>
  <si>
    <t>01084/472</t>
  </si>
  <si>
    <t>05.02.2021</t>
  </si>
  <si>
    <t>05.04.2019</t>
  </si>
  <si>
    <t>01084/508</t>
  </si>
  <si>
    <t>13-59981126</t>
  </si>
  <si>
    <t>04.04.2019</t>
  </si>
  <si>
    <t>29.04.2021</t>
  </si>
  <si>
    <t>19.03.2020</t>
  </si>
  <si>
    <t>06.07.2020</t>
  </si>
  <si>
    <t>03.02.2020</t>
  </si>
  <si>
    <t>22.11.2018</t>
  </si>
  <si>
    <t>04.02.2020</t>
  </si>
  <si>
    <t>13.11.2018</t>
  </si>
  <si>
    <t>08.10.2020</t>
  </si>
  <si>
    <t>25.08.2021</t>
  </si>
  <si>
    <t>18.06.2020</t>
  </si>
  <si>
    <t>02.06.2020</t>
  </si>
  <si>
    <t>17.09.2018</t>
  </si>
  <si>
    <t>19.04.2018</t>
  </si>
  <si>
    <t>28.03.2018</t>
  </si>
  <si>
    <t>20.01.2022</t>
  </si>
  <si>
    <t>01083-531</t>
  </si>
  <si>
    <t>01084/496</t>
  </si>
  <si>
    <t>01144-418</t>
  </si>
  <si>
    <t>2020-9</t>
  </si>
  <si>
    <t>01084/502</t>
  </si>
  <si>
    <t>2021-72</t>
  </si>
  <si>
    <t>23.03.2021</t>
  </si>
  <si>
    <t>00446/374803-1</t>
  </si>
  <si>
    <t>28.01.2020</t>
  </si>
  <si>
    <t>01084/1098</t>
  </si>
  <si>
    <t>2020-15/01154</t>
  </si>
  <si>
    <t>01084/498</t>
  </si>
  <si>
    <t>01019/3766</t>
  </si>
  <si>
    <t>10.05.2018</t>
  </si>
  <si>
    <t>01084/1049</t>
  </si>
  <si>
    <t>11.09.2018</t>
  </si>
  <si>
    <t>01084/1124</t>
  </si>
  <si>
    <t>01084/1127</t>
  </si>
  <si>
    <t>01084/500</t>
  </si>
  <si>
    <t>16.07.2018</t>
  </si>
  <si>
    <t>24.07.2018</t>
  </si>
  <si>
    <t>113/01154</t>
  </si>
  <si>
    <t>16.10.2018</t>
  </si>
  <si>
    <t>01144-649</t>
  </si>
  <si>
    <t>09.06.2020</t>
  </si>
  <si>
    <t>01084/1125</t>
  </si>
  <si>
    <t>87/01154</t>
  </si>
  <si>
    <t>09.08.2018</t>
  </si>
  <si>
    <t>01084/1082</t>
  </si>
  <si>
    <t>19.05.2021</t>
  </si>
  <si>
    <t>2021-277</t>
  </si>
  <si>
    <t>MFO</t>
  </si>
  <si>
    <t>11278</t>
  </si>
  <si>
    <t>11279</t>
  </si>
  <si>
    <t>11280</t>
  </si>
  <si>
    <t>11281</t>
  </si>
  <si>
    <t>11282</t>
  </si>
  <si>
    <t>11283</t>
  </si>
  <si>
    <t>11284</t>
  </si>
  <si>
    <t>10725</t>
  </si>
  <si>
    <t>11285</t>
  </si>
  <si>
    <t>11286</t>
  </si>
  <si>
    <t>11287</t>
  </si>
  <si>
    <t>11288</t>
  </si>
  <si>
    <t>11290</t>
  </si>
  <si>
    <t>11291</t>
  </si>
  <si>
    <t>11296</t>
  </si>
  <si>
    <t>11933</t>
  </si>
  <si>
    <t>Islom sivilizatsiyasi markazi</t>
  </si>
  <si>
    <t>Servis</t>
  </si>
  <si>
    <t>Glob</t>
  </si>
  <si>
    <t>1108457410</t>
  </si>
  <si>
    <t>5310177194</t>
  </si>
  <si>
    <t>5310177327</t>
  </si>
  <si>
    <t>5310177397</t>
  </si>
  <si>
    <t>5310178108</t>
  </si>
  <si>
    <t>5107226849</t>
  </si>
  <si>
    <t>Btech</t>
  </si>
  <si>
    <t>13-57828712</t>
  </si>
  <si>
    <t>13-57828727</t>
  </si>
  <si>
    <t>13-57828668</t>
  </si>
  <si>
    <t>13-57828670</t>
  </si>
  <si>
    <t>13-57828689</t>
  </si>
  <si>
    <t>13-57828728</t>
  </si>
  <si>
    <t>13-59981120</t>
  </si>
  <si>
    <t>13-59981127</t>
  </si>
  <si>
    <t>13-59981128</t>
  </si>
  <si>
    <t>13-54969408</t>
  </si>
  <si>
    <t>13-52882249</t>
  </si>
  <si>
    <t>13-55605794</t>
  </si>
  <si>
    <t>94-58407011</t>
  </si>
  <si>
    <t>13-54969406</t>
  </si>
  <si>
    <t>13-55551680</t>
  </si>
  <si>
    <t>94-55605890</t>
  </si>
  <si>
    <t>94-55605809</t>
  </si>
  <si>
    <t>90110032733</t>
  </si>
  <si>
    <t>90110038129</t>
  </si>
  <si>
    <t>901115119</t>
  </si>
  <si>
    <t>90110028434</t>
  </si>
  <si>
    <t>901121377</t>
  </si>
  <si>
    <t>90110032753</t>
  </si>
  <si>
    <t>901114406</t>
  </si>
  <si>
    <t>1108457419</t>
  </si>
  <si>
    <t>1318258</t>
  </si>
  <si>
    <t>5310177370</t>
  </si>
  <si>
    <t>1619339</t>
  </si>
  <si>
    <t>5310177467</t>
  </si>
  <si>
    <t>2119353</t>
  </si>
  <si>
    <t>94-55605795</t>
  </si>
  <si>
    <t xml:space="preserve">БХМ номи </t>
  </si>
  <si>
    <t xml:space="preserve">Банкомат ўрнатилган манзил </t>
  </si>
  <si>
    <t>2026 йил Январ Чиқим</t>
  </si>
  <si>
    <t>2026 йил Январ Даромад</t>
  </si>
  <si>
    <t>2026 йил Феврал Чиқим</t>
  </si>
  <si>
    <t>2026 йил Феврал Даромад</t>
  </si>
  <si>
    <t>2026 йил Март Чиқим</t>
  </si>
  <si>
    <t>2026 йил Март Даромад</t>
  </si>
  <si>
    <t>2026 йил Апрел Чиқим</t>
  </si>
  <si>
    <t>2026 йил Апрел Даромад</t>
  </si>
  <si>
    <t>2026 йил Май Чиқим</t>
  </si>
  <si>
    <t>2026 йил Май Даромад</t>
  </si>
  <si>
    <t>2026 йил Июнь Чиқим</t>
  </si>
  <si>
    <t>2026 йил Июнь Даромад</t>
  </si>
  <si>
    <t xml:space="preserve">Бухоро </t>
  </si>
  <si>
    <t>Бухоро филиали биносида 24/7</t>
  </si>
  <si>
    <t>Хюсонг</t>
  </si>
  <si>
    <t>(Мохитабон БХО 24/7да эди) Омборда</t>
  </si>
  <si>
    <t>Piridastgir 5A uy 24/7</t>
  </si>
  <si>
    <t>Когон БХО</t>
  </si>
  <si>
    <t>Қоракўл БХО</t>
  </si>
  <si>
    <t>Ғиждувон БХО</t>
  </si>
  <si>
    <t>(Прибанк 24/7да эди) Омборда</t>
  </si>
  <si>
    <t>Эски шахар</t>
  </si>
  <si>
    <t>Қарши</t>
  </si>
  <si>
    <t>(Қарши филиал биносида 24/7 эди) Омборда</t>
  </si>
  <si>
    <t>(Ирригация институти биносида эди) Омборда</t>
  </si>
  <si>
    <t>(Насаф БХОда эди) Омборда</t>
  </si>
  <si>
    <t>Насаф БХО</t>
  </si>
  <si>
    <t>Косон БХО</t>
  </si>
  <si>
    <t>Миришкор БХО</t>
  </si>
  <si>
    <t>Прибанк 24/7</t>
  </si>
  <si>
    <t>Фарход БХО</t>
  </si>
  <si>
    <t>Навоий</t>
  </si>
  <si>
    <t>Навоий ш. Низомий кўча 28А уй Эски Прибанк</t>
  </si>
  <si>
    <t xml:space="preserve"> Навоий савдо комплекси 24/7</t>
  </si>
  <si>
    <t>Кармана тумани Мирсаид Бахром МФЙ</t>
  </si>
  <si>
    <t>Нурафшон БХО</t>
  </si>
  <si>
    <t>Навбахор БХО</t>
  </si>
  <si>
    <t>Хатирчи БХО</t>
  </si>
  <si>
    <t>Юксалиш БХО</t>
  </si>
  <si>
    <t>Навоий филиали биносида 24/7</t>
  </si>
  <si>
    <t>Наманган</t>
  </si>
  <si>
    <t>Наманган филиали биносида 24/7</t>
  </si>
  <si>
    <t>(Чорсу БХОда эди) Омборда</t>
  </si>
  <si>
    <t>(Чорсу бозори ҳудудида эди) Омборда</t>
  </si>
  <si>
    <t>Дўстлик БХО</t>
  </si>
  <si>
    <t>Давлатобод тумани</t>
  </si>
  <si>
    <t>Лола БХО</t>
  </si>
  <si>
    <t>(Косонсой БХОда эди) Омборда</t>
  </si>
  <si>
    <t>Чорсу БХО</t>
  </si>
  <si>
    <t>Нуробод ошхона</t>
  </si>
  <si>
    <t>Самарқанд</t>
  </si>
  <si>
    <t>Паст дарғом тумани роват МФЙ</t>
  </si>
  <si>
    <t>M-Aysu do‘koni</t>
  </si>
  <si>
    <t>(Лойиш БХОда эди) Омборда</t>
  </si>
  <si>
    <t>(Паст дарғом туманида эди) Омборда</t>
  </si>
  <si>
    <t>Yuskalish firmasi</t>
  </si>
  <si>
    <t>Паст дарғом тумани Боғанали МФЙ</t>
  </si>
  <si>
    <t>Каттақўрғон БХО</t>
  </si>
  <si>
    <t>Гулистон</t>
  </si>
  <si>
    <t>Истиқлол БХО</t>
  </si>
  <si>
    <t>Гулистон шахар хокимияти 24/7</t>
  </si>
  <si>
    <t>Тараққиёт БХО</t>
  </si>
  <si>
    <t>Хумо БХО</t>
  </si>
  <si>
    <t>Янгибозор 24/7</t>
  </si>
  <si>
    <t>Гулистон филиали биносида 24/7</t>
  </si>
  <si>
    <t>Термиз</t>
  </si>
  <si>
    <t>Бақтрия савдо комплекси yangi  24/7</t>
  </si>
  <si>
    <t>(Жарқўрғон БХОда эди) Омборда</t>
  </si>
  <si>
    <t>Юбилейний Ақлли бекат</t>
  </si>
  <si>
    <t>Денов БХО</t>
  </si>
  <si>
    <t>МАБ</t>
  </si>
  <si>
    <t>(ФВВ биносида эди) Омборда</t>
  </si>
  <si>
    <t>Тошкент шахар БХМ 24/7</t>
  </si>
  <si>
    <t>H68VL (GRG)</t>
  </si>
  <si>
    <t>Ўзбекгидроэнерго имтиёзли 0.5%</t>
  </si>
  <si>
    <t>(Малика савдо мажмуаси 24/7да эди) Омборда</t>
  </si>
  <si>
    <t>(Гидропроект 24/7да эди) Омборда</t>
  </si>
  <si>
    <t>(Ахмад Дониш БХОда эди) Бўстонлиқ Энергияқурилишда имтиёзли 0.5%</t>
  </si>
  <si>
    <t>(Бизнес марказда эди) Омбудсманда имтиёзли 0%</t>
  </si>
  <si>
    <t>Адлия Вазирлиги Davlat xizmatlari markazi имтиёзли 0%</t>
  </si>
  <si>
    <t>(Адлия вазирлигида эди) Омборда</t>
  </si>
  <si>
    <t>(Чилонзор Чўпонота БХОда эди) Гидропроектда</t>
  </si>
  <si>
    <t>Islom sivilizatsiya markazi</t>
  </si>
  <si>
    <t>(Адлия Вазирлигида имтиёзли 0% эди) Омборда соз</t>
  </si>
  <si>
    <t>(Шаҳарсозлик экспертизасида имтиёзли 0% эди) Adliya (Adolat markazi)</t>
  </si>
  <si>
    <t>(Олий мажлис 2-биносида имтиёзли 0% эди) Sazanchik</t>
  </si>
  <si>
    <t>(Юнусободдан келган) Прокуратура департаментида имтиёзли 0%</t>
  </si>
  <si>
    <t>Олий мажлис 1-биносида имтиёзли 0%</t>
  </si>
  <si>
    <t>Олий мажлис Сенатида имтиёзли 0%</t>
  </si>
  <si>
    <t>ALFRAGANUS Universiteti</t>
  </si>
  <si>
    <t>(Yashnoboddan kelgan) Sarakulka MCHJ Zalar muvaffaq</t>
  </si>
  <si>
    <t>(Мирободдан келган) Омборда</t>
  </si>
  <si>
    <t>(МЧС Нурафшонда эди) Олий Мажлис палатада имтиёзли 0%</t>
  </si>
  <si>
    <t>Фарғона</t>
  </si>
  <si>
    <t>Фарғона филиали биносида 24/7</t>
  </si>
  <si>
    <t>Шоҳимардон</t>
  </si>
  <si>
    <t>Маърифат БХО</t>
  </si>
  <si>
    <r>
      <t xml:space="preserve">(Марифат 44 уйда эди </t>
    </r>
    <r>
      <rPr>
        <b/>
        <sz val="10"/>
        <color theme="1"/>
        <rFont val="Times New Roman"/>
        <family val="1"/>
        <charset val="204"/>
      </rPr>
      <t>эски ид</t>
    </r>
    <r>
      <rPr>
        <sz val="10"/>
        <color theme="1"/>
        <rFont val="Times New Roman"/>
        <family val="1"/>
        <charset val="204"/>
      </rPr>
      <t>) Хувайдо БХО 2 да</t>
    </r>
  </si>
  <si>
    <t>Хувайдо БХО 2 да</t>
  </si>
  <si>
    <t>(Андижонда эди) Мижоз YONG XIN MCHJда имтиёзли 0%</t>
  </si>
  <si>
    <t>Водил БХО</t>
  </si>
  <si>
    <t>(Нурхон БХОда эди) Омборда</t>
  </si>
  <si>
    <t>Риштон БХО</t>
  </si>
  <si>
    <t>QODIRIY  BXO</t>
  </si>
  <si>
    <t>XUVAYDO BXO</t>
  </si>
  <si>
    <t>Nurxon BXO 2</t>
  </si>
  <si>
    <t>Урганч</t>
  </si>
  <si>
    <t>(УрДУ биносида эди) Омборда</t>
  </si>
  <si>
    <t>Урганч филиали биносида 24/7</t>
  </si>
  <si>
    <t>Жойхун БХО Носоз</t>
  </si>
  <si>
    <t>(Жайхун БХО 24/7да эди) Омборда</t>
  </si>
  <si>
    <t>Хонқа минибанк 24/7</t>
  </si>
  <si>
    <t>Хонқа тум. Қорақош қишлоғи</t>
  </si>
  <si>
    <t>Ал-Хоразмий БХО Жойи ўзгаради</t>
  </si>
  <si>
    <t>Янгибозор БХО</t>
  </si>
  <si>
    <t>Нукус</t>
  </si>
  <si>
    <t>(Нукус филиали биноси 24/7да эди) Омборда носоз</t>
  </si>
  <si>
    <t>Нукус филиали биносида 24/7</t>
  </si>
  <si>
    <t>Нукус БХО</t>
  </si>
  <si>
    <t>Тахиатош БХО 24/7да</t>
  </si>
  <si>
    <t>Кўхна кала БХОда</t>
  </si>
  <si>
    <t>Жиззах</t>
  </si>
  <si>
    <t>(Прибанк 24/7да эди) Омборда носоз</t>
  </si>
  <si>
    <t>Жиззах филиали биносида 24/7</t>
  </si>
  <si>
    <t>Бахмал БХО</t>
  </si>
  <si>
    <t>Кўкбозор 24/7</t>
  </si>
  <si>
    <t>(Прибанк 24/7 эди) Омборда</t>
  </si>
  <si>
    <t>(Мехржон БХОда эди) Шаҳрисабзга берилган</t>
  </si>
  <si>
    <t>Миробод Прибанк 24/7</t>
  </si>
  <si>
    <t>(Сергели БХОда эди) Шаҳрисабзга берилган</t>
  </si>
  <si>
    <t>Шаҳрисабз</t>
  </si>
  <si>
    <t>Шаҳрисабз филиали биносида 24/7</t>
  </si>
  <si>
    <t>Олчазор Азия бозори 24/7</t>
  </si>
  <si>
    <t>(Оқсарой БХОда эди) Омборда носоз</t>
  </si>
  <si>
    <t>Оқсарой БХО</t>
  </si>
  <si>
    <t>(Чироқчи БХОда эди) Омборда носоз</t>
  </si>
  <si>
    <t>Амир Темур БХО</t>
  </si>
  <si>
    <t>Чироқчи БХО (Qarshidan olingan eski 29922 ombordagi)</t>
  </si>
  <si>
    <t>Зангиота</t>
  </si>
  <si>
    <t>Зангиота филиали биносида 24/7</t>
  </si>
  <si>
    <t>Чиноз БХО 24/7</t>
  </si>
  <si>
    <t>Ангрен мижоз Резино техника заводи имтиёзли 0.5%</t>
  </si>
  <si>
    <t>Бек барака бозор худудида 24/7</t>
  </si>
  <si>
    <t>Чиноз БХО</t>
  </si>
  <si>
    <t>Чорвоқ 24/7</t>
  </si>
  <si>
    <t>Охангарон БХО 24/7</t>
  </si>
  <si>
    <t>Алфатраде савдо комплекс 24/7</t>
  </si>
  <si>
    <t>(Парвоз БХО 24/7да эди) Омборда носоз</t>
  </si>
  <si>
    <t>(Паркент бозор худуди 24/7да эди) Омборда Диспенсор куйган</t>
  </si>
  <si>
    <t>Парвоз БХО 24/7</t>
  </si>
  <si>
    <t>(Андалус супермаркетида эди) Омборда носоз</t>
  </si>
  <si>
    <t>(ТДИУ ҳудудидаги 24/7) Алмашган</t>
  </si>
  <si>
    <t>(Чўпонота БХОда эди) МАБга берилган</t>
  </si>
  <si>
    <t>(Чилонзор Прибанк 24/7да эди) Омборда</t>
  </si>
  <si>
    <t>(Фаробий БХО 24/7да эди) Омборда носоз</t>
  </si>
  <si>
    <t>(Прибанк 24/7) Омборда</t>
  </si>
  <si>
    <t>(Uzbekgidroenergiya eski эди) Омборда</t>
  </si>
  <si>
    <t>(М.Улуғбек филиали биноси 24/7да эди) Омборда</t>
  </si>
  <si>
    <t>Ирригация 24/7</t>
  </si>
  <si>
    <t>(Қибрай тумани Геофизикада эди) Омборда</t>
  </si>
  <si>
    <t>(Дўрмон БХОда эди) Омборда</t>
  </si>
  <si>
    <t>Омборда носоз</t>
  </si>
  <si>
    <t>(Андижон MCHSда эди) Фарғонага берилган</t>
  </si>
  <si>
    <t>Андижон Андижон филиали биносида 24/7</t>
  </si>
  <si>
    <t>Булунғур</t>
  </si>
  <si>
    <t xml:space="preserve">Бухоро филиали биносида 24/7 </t>
  </si>
  <si>
    <t>(Мохитабон БХОда эди) Ёпилган - Ғиждувонга кўчирилади</t>
  </si>
  <si>
    <t>Cieno C2040</t>
  </si>
  <si>
    <t>(МЧСда эди) Ғиждувон деҳқон бозорида</t>
  </si>
  <si>
    <t>Ғиждувон деҳқон бозори</t>
  </si>
  <si>
    <t>Buxoro shahar Pridaskir ko'chasi 5A uy</t>
  </si>
  <si>
    <t>Бухоро т. Зарманоқ мфй</t>
  </si>
  <si>
    <t>Сомоний БХО</t>
  </si>
  <si>
    <t>(Romitan tuman Marziya MFYда эди) Омборда носоз - списат бўлади</t>
  </si>
  <si>
    <t>157A05D2</t>
  </si>
  <si>
    <t>Қарши филиал биносида 24/7</t>
  </si>
  <si>
    <t xml:space="preserve">Қарши филиал биносида 24/7 </t>
  </si>
  <si>
    <t xml:space="preserve"> Комплекс маркет</t>
  </si>
  <si>
    <t>(Омборда эди) Шаҳрисабзга берилган</t>
  </si>
  <si>
    <t>1570000A</t>
  </si>
  <si>
    <t xml:space="preserve">Навоий савдо комплекси худудида 24/7 </t>
  </si>
  <si>
    <t>Вафобек савдо комплекс 24/7</t>
  </si>
  <si>
    <t>Нурафшон 24/7</t>
  </si>
  <si>
    <t>Низомий к. Эски Туронбанк биноси</t>
  </si>
  <si>
    <t>Навбаҳор БХО</t>
  </si>
  <si>
    <t>Кармана БХО</t>
  </si>
  <si>
    <t xml:space="preserve">Прибанк 24/7 </t>
  </si>
  <si>
    <t xml:space="preserve">Косонсой БХО </t>
  </si>
  <si>
    <t>Чорсу бозори ҳудудида 24/7</t>
  </si>
  <si>
    <t xml:space="preserve">Наманган филиали биносида 24/7 </t>
  </si>
  <si>
    <t>Янгиқўрғон дўкони</t>
  </si>
  <si>
    <t>Самарқанд ш. Спитамин Шох кўча 18 уй</t>
  </si>
  <si>
    <t>Оқдарё тумани Лойиш шахарчаси БХО</t>
  </si>
  <si>
    <t>Мархабо БХО</t>
  </si>
  <si>
    <t>Пасдарғом тумани Ўртачархин МФЙ</t>
  </si>
  <si>
    <t xml:space="preserve">Самарқанд филиали биносида 24/7 </t>
  </si>
  <si>
    <t>157A0AK9</t>
  </si>
  <si>
    <t>Гулистон шахар хокимияти яқинида 24/7</t>
  </si>
  <si>
    <t>(157A06XO Юнусобод БХОdan kelgan) Мижоз SOYA FARMда</t>
  </si>
  <si>
    <t xml:space="preserve">Гулистон филиали биносида 24/7 </t>
  </si>
  <si>
    <t>Жарқўрғон БХО</t>
  </si>
  <si>
    <t xml:space="preserve">Термиз филиали биносида 24/7 </t>
  </si>
  <si>
    <t>Бақтрия савдо комплекси</t>
  </si>
  <si>
    <t>Юбилейний бекати 24/7</t>
  </si>
  <si>
    <t>Гидропроект 24/7</t>
  </si>
  <si>
    <t>Ўзбекгидроэнергия</t>
  </si>
  <si>
    <t xml:space="preserve">МАБ Абай к. 4а 24\7 </t>
  </si>
  <si>
    <t>(МАБ Абай к. 4а 24\7 да эди) Алмашган</t>
  </si>
  <si>
    <t>157A0B24</t>
  </si>
  <si>
    <t>(Олий суд да эди) Омборда</t>
  </si>
  <si>
    <t>Адлия вазирлигида имтиёзли 0%</t>
  </si>
  <si>
    <t>Сенатда имтиёзли 0%</t>
  </si>
  <si>
    <t>(Мирзо Улуғбек БХМда эди) Алшер Навоий Метро</t>
  </si>
  <si>
    <t>(Малика савдода эди) Омборда</t>
  </si>
  <si>
    <t>Омборда</t>
  </si>
  <si>
    <t>Хувайдо БХО</t>
  </si>
  <si>
    <t>Қодирий БХО</t>
  </si>
  <si>
    <t>Нурхон БХО</t>
  </si>
  <si>
    <t xml:space="preserve">Фарғона филиали биносида 24/7 </t>
  </si>
  <si>
    <t>Нурафшон санаторияси</t>
  </si>
  <si>
    <t>Жайхун БХО</t>
  </si>
  <si>
    <t>Урганч филиали биносида 24/7 Экран носоз</t>
  </si>
  <si>
    <t>Юнус клиникаси</t>
  </si>
  <si>
    <t>(Нукус МЧСда эди) Тахиатош гузарида 1570001P</t>
  </si>
  <si>
    <t>157A0DRO</t>
  </si>
  <si>
    <t>Тахиатош гузари</t>
  </si>
  <si>
    <t xml:space="preserve"> Нукус филиали биносида 24/7 </t>
  </si>
  <si>
    <t>Кўҳна қалъа БХО</t>
  </si>
  <si>
    <t>Қоскол, Аския к.</t>
  </si>
  <si>
    <t>Тахиатош БХО 24/7</t>
  </si>
  <si>
    <t>(Тахиатош БХОда) Янги ИД 1570001G</t>
  </si>
  <si>
    <t>157A0C7H</t>
  </si>
  <si>
    <t>Жиззах ш. Кўк бозор</t>
  </si>
  <si>
    <t xml:space="preserve">Жиззах филиали биносида 24/7 </t>
  </si>
  <si>
    <t>Кўк бозор 24/7 2</t>
  </si>
  <si>
    <t>Jizzax v. Zomin tumani Shashlik uz</t>
  </si>
  <si>
    <t>(Тошкент БХОда эди) Шахрисабзга берилган</t>
  </si>
  <si>
    <t>157A055R</t>
  </si>
  <si>
    <t>(Прибанк 24/7 да эди) Омборда</t>
  </si>
  <si>
    <t>(Миробод 24/7да эди) Шахрисабзга берилган</t>
  </si>
  <si>
    <t>157A05ZU</t>
  </si>
  <si>
    <t xml:space="preserve">Миробод Прибанк 24/7 </t>
  </si>
  <si>
    <t>(Миробод БХМ Микромолияда эди) МАБга берилган</t>
  </si>
  <si>
    <t>Амур Темур БХО</t>
  </si>
  <si>
    <t xml:space="preserve"> Оксарой БХО</t>
  </si>
  <si>
    <t xml:space="preserve">Шаҳрисабз филиали биносида 24/7 </t>
  </si>
  <si>
    <t>(Миробод Тошкент БХОда эди) Омборда</t>
  </si>
  <si>
    <t xml:space="preserve">Зангиота филиали биносида 24/7 </t>
  </si>
  <si>
    <t>Мархабо мехмонхона</t>
  </si>
  <si>
    <t>Бек барака савдо мажмуаси 24/7</t>
  </si>
  <si>
    <t>Чиноз БХО 1</t>
  </si>
  <si>
    <t>Чиноз БХО 2</t>
  </si>
  <si>
    <t>(Янгийўл БХОда эди) Ангрен Резинотехника заводи 1570001C</t>
  </si>
  <si>
    <t>157A09K7</t>
  </si>
  <si>
    <t>Ангрен Резинотехника заводи имтиёзли 0.5%</t>
  </si>
  <si>
    <t>Охангарон семент имтиёзли 0%</t>
  </si>
  <si>
    <t>Oxangaron BXO</t>
  </si>
  <si>
    <t>(Омборда эди) Прибанк 24/7 1570001E</t>
  </si>
  <si>
    <t>157A0AFD</t>
  </si>
  <si>
    <t>(Паркент савдо комплекси худудида 24/7 да эди Носоз) Омборда</t>
  </si>
  <si>
    <t>Портобелло Мехмонхона</t>
  </si>
  <si>
    <t>(Ғалаба БХОда эди) MABga berilgan (Sarakulka)</t>
  </si>
  <si>
    <t>157A0B2S</t>
  </si>
  <si>
    <t>Омборда соз</t>
  </si>
  <si>
    <t>157A05AW</t>
  </si>
  <si>
    <t>(Чилонзор филиали биносида 24/7 да эди) Омборда</t>
  </si>
  <si>
    <t>(ТДИУ университети ҳудудида 24/7 да эди) Омборда</t>
  </si>
  <si>
    <t>157A06AX</t>
  </si>
  <si>
    <t>Чилонзор филиали биносида 24/7 Светдан узилган</t>
  </si>
  <si>
    <t>157A0AFI</t>
  </si>
  <si>
    <t>(Чўпонота БХОда эди) Омборда соз</t>
  </si>
  <si>
    <t>157A0C0O</t>
  </si>
  <si>
    <t>(MCHS SLUJBAда эди) Омборда соз</t>
  </si>
  <si>
    <t>1570000C</t>
  </si>
  <si>
    <t>157A0AOI</t>
  </si>
  <si>
    <t>(Фаробий БХО да эди) Омборда</t>
  </si>
  <si>
    <t>157A05A1</t>
  </si>
  <si>
    <t>157A06SQ</t>
  </si>
  <si>
    <t>(Юнусобод БХОда эди) Сирдарёга берилган</t>
  </si>
  <si>
    <t>157A06XO</t>
  </si>
  <si>
    <t>157A0AF9</t>
  </si>
  <si>
    <t>Ирригация 24/7 кардридер носоз</t>
  </si>
  <si>
    <t>(Дурмон БХОда эди) МАБ Омборда</t>
  </si>
  <si>
    <t>157A08ZJ</t>
  </si>
  <si>
    <t xml:space="preserve">Андижон филиали биносида 24/7 </t>
  </si>
  <si>
    <t>Булунғур БРМ</t>
  </si>
  <si>
    <t>Булунғур т. Гобдин мфй. Усмонқулота чойхонаси</t>
  </si>
  <si>
    <t>002260000044619</t>
  </si>
  <si>
    <t>2026 Yanvar</t>
  </si>
  <si>
    <t>2026 Fevral</t>
  </si>
  <si>
    <t>2026 Mart</t>
  </si>
  <si>
    <t>2026 Aprel</t>
  </si>
  <si>
    <t>2026 May</t>
  </si>
  <si>
    <t>2026 Iyun</t>
  </si>
  <si>
    <t>Servis to‘lovi</t>
  </si>
  <si>
    <t>Qoraqalpog‘iston Respublikasi</t>
  </si>
  <si>
    <t>Jami</t>
  </si>
  <si>
    <t>Avtotexxizmat</t>
  </si>
  <si>
    <t>90110032836</t>
  </si>
  <si>
    <t>2026 Iyul</t>
  </si>
  <si>
    <t>Bekbaraka savdo kompleksi</t>
  </si>
  <si>
    <t>Bekobod BXO</t>
  </si>
  <si>
    <t>Chorvoq GES</t>
  </si>
  <si>
    <t>Marhabo mehmonxonasi</t>
  </si>
  <si>
    <t>Rezinotexnika zavodi</t>
  </si>
  <si>
    <t>ALFA TRADE savdo kompleksi</t>
  </si>
  <si>
    <t>TERM_ID</t>
  </si>
  <si>
    <t>SUM(DTL_VALUE)</t>
  </si>
  <si>
    <t>SUM(DTL_VALUE_DT)</t>
  </si>
  <si>
    <t>SUM(DTL_VALUE_KT)</t>
  </si>
  <si>
    <t>SUM(AMOUNT)</t>
  </si>
  <si>
    <t>SUM(AMOUNT_DT)</t>
  </si>
  <si>
    <t>SUM(AMOUNT_KT)</t>
  </si>
  <si>
    <t>CASH_AMOUNT</t>
  </si>
  <si>
    <t>CASH_AMOUNT_DT</t>
  </si>
  <si>
    <t>CASH_AMOUNT_KT</t>
  </si>
  <si>
    <t>SRV_DEP_CODE</t>
  </si>
  <si>
    <t>SRV_DEP_NAME</t>
  </si>
  <si>
    <t>Сирдарё БХМ</t>
  </si>
  <si>
    <t>Фарғона БХМ</t>
  </si>
  <si>
    <t>Қарши БХМ</t>
  </si>
  <si>
    <t>10696</t>
  </si>
  <si>
    <t>"Shayxontoxur" bank xizmatlari</t>
  </si>
  <si>
    <t>Қорақалпоғистон БХМ</t>
  </si>
  <si>
    <t>Сурхондарё БХМ</t>
  </si>
  <si>
    <t>Зангиота БХМ</t>
  </si>
  <si>
    <t>Навоий БХМ</t>
  </si>
  <si>
    <t>Бухоро БХМ</t>
  </si>
  <si>
    <t>Toshkent shahar BXM</t>
  </si>
  <si>
    <t>Шаҳрисабз БХМ</t>
  </si>
  <si>
    <t>Жиззах БХМ</t>
  </si>
  <si>
    <t>Хоразм БХМ</t>
  </si>
  <si>
    <t>10723</t>
  </si>
  <si>
    <t xml:space="preserve">Mirzo Ulugbek bank xizmatlari </t>
  </si>
  <si>
    <t>“Biznesni rivojlantirish marka</t>
  </si>
  <si>
    <t>Самарқанд БХМ</t>
  </si>
  <si>
    <t>Andijon BXO</t>
  </si>
  <si>
    <t>10718</t>
  </si>
  <si>
    <t>"Parvoz" bank xizmatlari ofisi</t>
  </si>
  <si>
    <t>Наманган БХМ</t>
  </si>
  <si>
    <t>10706</t>
  </si>
  <si>
    <t>"Mirobod" bank xizmatlari ofis</t>
  </si>
  <si>
    <t>10715</t>
  </si>
  <si>
    <t>"Oxangaron"  bank xizmatlari o</t>
  </si>
  <si>
    <t>10668</t>
  </si>
  <si>
    <t>"Qorako‘l" bank xizmatlari ofi</t>
  </si>
  <si>
    <t>10676</t>
  </si>
  <si>
    <t>"Xatirchi" bank xizmatlari ofi</t>
  </si>
  <si>
    <t>10665</t>
  </si>
  <si>
    <t>"Kogon" bank xizmatlari ofisi</t>
  </si>
  <si>
    <t>10838</t>
  </si>
  <si>
    <t>"Navbaxor" bank xizmatlari ofi</t>
  </si>
  <si>
    <t>2026 avgust</t>
  </si>
  <si>
    <t>2026 sentabr</t>
  </si>
  <si>
    <t>2026 oktabr</t>
  </si>
  <si>
    <t>2026 noyabr</t>
  </si>
  <si>
    <t>2026 dekabr</t>
  </si>
  <si>
    <t>Mirzo Ulug‘bek BXO</t>
  </si>
  <si>
    <t>13-55551586</t>
  </si>
  <si>
    <t>Yunusobod BXO</t>
  </si>
  <si>
    <t>Megaton</t>
  </si>
  <si>
    <t>ЧУСТ г., CHUSTNONDO‘STLAROBOD MFY гп, MADANIYAT ул., дом 71</t>
  </si>
  <si>
    <t>90110038374</t>
  </si>
  <si>
    <t>5310175463</t>
  </si>
  <si>
    <t>901117251</t>
  </si>
  <si>
    <t>5310177540</t>
  </si>
  <si>
    <t>23510</t>
  </si>
  <si>
    <t>45265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</si>
</sst>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6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1"/>
      <name val="Times Roman"/>
      <family val="1"/>
      <charset val="204"/>
    </font>
    <font>
      <sz val="11"/>
      <color theme="1"/>
      <name val="Times Roman"/>
      <family val="1"/>
    </font>
    <font>
      <b/>
      <sz val="10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sz val="18"/>
      <color theme="1"/>
      <name val="Times Roman"/>
      <family val="1"/>
      <charset val="204"/>
    </font>
    <font>
      <sz val="18"/>
      <color theme="1"/>
      <name val="Times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50" fillId="0" borderId="0" applyFont="0" applyFill="0" applyBorder="0" applyAlignment="0" applyProtection="0"/>
    <xf numFmtId="0" fontId="52" fillId="0" borderId="0"/>
  </cellStyleXfs>
  <cellXfs count="189">
    <xf numFmtId="0" fontId="0" fillId="0" borderId="0" xfId="0"/>
    <xf numFmtId="49" fontId="53" fillId="0" borderId="1" xfId="1" applyNumberFormat="1" applyFont="1" applyFill="1" applyBorder="1" applyAlignment="1">
      <alignment horizontal="center" vertical="center"/>
    </xf>
    <xf numFmtId="49" fontId="47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7" fillId="0" borderId="1" xfId="0" applyFont="1" applyFill="1" applyBorder="1" applyAlignment="1">
      <alignment horizontal="center"/>
    </xf>
    <xf numFmtId="49" fontId="47" fillId="0" borderId="1" xfId="0" applyNumberFormat="1" applyFont="1" applyFill="1" applyBorder="1" applyAlignment="1">
      <alignment horizontal="center"/>
    </xf>
    <xf numFmtId="43" fontId="53" fillId="0" borderId="1" xfId="1" applyFont="1" applyFill="1" applyBorder="1" applyAlignment="1">
      <alignment horizontal="center" vertical="center"/>
    </xf>
    <xf numFmtId="43" fontId="48" fillId="0" borderId="1" xfId="1" applyFont="1" applyBorder="1" applyAlignment="1">
      <alignment horizontal="center"/>
    </xf>
    <xf numFmtId="0" fontId="43" fillId="0" borderId="1" xfId="0" applyFont="1" applyFill="1" applyBorder="1" applyAlignment="1">
      <alignment horizontal="center" vertical="center"/>
    </xf>
    <xf numFmtId="43" fontId="48" fillId="0" borderId="1" xfId="1" applyFont="1" applyFill="1" applyBorder="1" applyAlignment="1">
      <alignment horizontal="center"/>
    </xf>
    <xf numFmtId="0" fontId="47" fillId="0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 wrapText="1"/>
    </xf>
    <xf numFmtId="0" fontId="55" fillId="3" borderId="1" xfId="0" applyFont="1" applyFill="1" applyBorder="1" applyAlignment="1">
      <alignment horizontal="center" vertical="center" wrapText="1"/>
    </xf>
    <xf numFmtId="0" fontId="56" fillId="3" borderId="1" xfId="0" applyFont="1" applyFill="1" applyBorder="1" applyAlignment="1">
      <alignment horizontal="center" vertical="center" wrapText="1"/>
    </xf>
    <xf numFmtId="43" fontId="55" fillId="2" borderId="2" xfId="1" applyFont="1" applyFill="1" applyBorder="1" applyAlignment="1">
      <alignment horizontal="center" vertical="center" wrapText="1"/>
    </xf>
    <xf numFmtId="0" fontId="57" fillId="4" borderId="1" xfId="0" applyFont="1" applyFill="1" applyBorder="1" applyAlignment="1">
      <alignment horizontal="center" vertical="center" wrapText="1"/>
    </xf>
    <xf numFmtId="0" fontId="58" fillId="4" borderId="1" xfId="0" applyFont="1" applyFill="1" applyBorder="1" applyAlignment="1">
      <alignment horizontal="center" vertical="center" wrapText="1"/>
    </xf>
    <xf numFmtId="43" fontId="59" fillId="3" borderId="1" xfId="1" applyFont="1" applyFill="1" applyBorder="1" applyAlignment="1">
      <alignment horizontal="center" vertical="center" wrapText="1"/>
    </xf>
    <xf numFmtId="43" fontId="57" fillId="2" borderId="1" xfId="1" applyFont="1" applyFill="1" applyBorder="1" applyAlignment="1">
      <alignment horizontal="center" vertical="center" wrapText="1"/>
    </xf>
    <xf numFmtId="43" fontId="57" fillId="2" borderId="3" xfId="1" applyFont="1" applyFill="1" applyBorder="1" applyAlignment="1">
      <alignment horizontal="center" vertical="center" wrapText="1"/>
    </xf>
    <xf numFmtId="0" fontId="58" fillId="5" borderId="1" xfId="0" applyFont="1" applyFill="1" applyBorder="1" applyAlignment="1">
      <alignment horizontal="center" vertical="center" wrapText="1"/>
    </xf>
    <xf numFmtId="0" fontId="60" fillId="4" borderId="1" xfId="0" applyFont="1" applyFill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/>
    </xf>
    <xf numFmtId="0" fontId="57" fillId="4" borderId="1" xfId="0" applyFont="1" applyFill="1" applyBorder="1" applyAlignment="1">
      <alignment horizontal="center" vertical="center"/>
    </xf>
    <xf numFmtId="0" fontId="60" fillId="5" borderId="1" xfId="0" applyFont="1" applyFill="1" applyBorder="1" applyAlignment="1">
      <alignment horizontal="center" vertical="center"/>
    </xf>
    <xf numFmtId="49" fontId="60" fillId="4" borderId="1" xfId="0" applyNumberFormat="1" applyFont="1" applyFill="1" applyBorder="1" applyAlignment="1">
      <alignment horizontal="center" vertical="center" wrapText="1"/>
    </xf>
    <xf numFmtId="43" fontId="57" fillId="2" borderId="4" xfId="1" applyFont="1" applyFill="1" applyBorder="1" applyAlignment="1">
      <alignment horizontal="center" vertical="center" wrapText="1"/>
    </xf>
    <xf numFmtId="43" fontId="57" fillId="2" borderId="5" xfId="1" applyFont="1" applyFill="1" applyBorder="1" applyAlignment="1">
      <alignment horizontal="center" vertical="center" wrapText="1"/>
    </xf>
    <xf numFmtId="0" fontId="63" fillId="3" borderId="1" xfId="0" applyFont="1" applyFill="1" applyBorder="1" applyAlignment="1">
      <alignment horizontal="center" vertical="center"/>
    </xf>
    <xf numFmtId="0" fontId="63" fillId="3" borderId="1" xfId="0" applyFont="1" applyFill="1" applyBorder="1" applyAlignment="1">
      <alignment horizontal="center" vertical="center" wrapText="1"/>
    </xf>
    <xf numFmtId="43" fontId="63" fillId="2" borderId="1" xfId="1" applyFont="1" applyFill="1" applyBorder="1" applyAlignment="1">
      <alignment horizontal="center" vertical="center" wrapText="1"/>
    </xf>
    <xf numFmtId="43" fontId="63" fillId="2" borderId="2" xfId="1" applyFont="1" applyFill="1" applyBorder="1" applyAlignment="1">
      <alignment horizontal="center" vertical="center" wrapText="1"/>
    </xf>
    <xf numFmtId="0" fontId="64" fillId="4" borderId="1" xfId="0" applyFont="1" applyFill="1" applyBorder="1" applyAlignment="1">
      <alignment horizontal="center" vertical="center"/>
    </xf>
    <xf numFmtId="0" fontId="64" fillId="4" borderId="1" xfId="0" applyFont="1" applyFill="1" applyBorder="1" applyAlignment="1">
      <alignment horizontal="center" vertical="center" wrapText="1"/>
    </xf>
    <xf numFmtId="0" fontId="65" fillId="3" borderId="1" xfId="0" applyFont="1" applyFill="1" applyBorder="1" applyAlignment="1">
      <alignment horizontal="center" vertical="center" wrapText="1"/>
    </xf>
    <xf numFmtId="43" fontId="64" fillId="2" borderId="3" xfId="1" applyFont="1" applyFill="1" applyBorder="1" applyAlignment="1">
      <alignment horizontal="center" vertical="center" wrapText="1"/>
    </xf>
    <xf numFmtId="0" fontId="64" fillId="5" borderId="1" xfId="0" applyFont="1" applyFill="1" applyBorder="1" applyAlignment="1">
      <alignment horizontal="center" vertical="center" wrapText="1"/>
    </xf>
    <xf numFmtId="0" fontId="66" fillId="5" borderId="1" xfId="0" applyFont="1" applyFill="1" applyBorder="1" applyAlignment="1">
      <alignment horizontal="center" vertical="center" wrapText="1"/>
    </xf>
    <xf numFmtId="0" fontId="66" fillId="4" borderId="1" xfId="0" applyFont="1" applyFill="1" applyBorder="1" applyAlignment="1">
      <alignment horizontal="center" vertical="center" wrapText="1"/>
    </xf>
    <xf numFmtId="0" fontId="67" fillId="4" borderId="1" xfId="0" applyFont="1" applyFill="1" applyBorder="1" applyAlignment="1">
      <alignment horizontal="center" vertical="center"/>
    </xf>
    <xf numFmtId="0" fontId="67" fillId="5" borderId="1" xfId="0" applyFont="1" applyFill="1" applyBorder="1" applyAlignment="1">
      <alignment horizontal="center" vertical="center" wrapText="1"/>
    </xf>
    <xf numFmtId="0" fontId="66" fillId="4" borderId="1" xfId="0" applyFont="1" applyFill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 wrapText="1"/>
    </xf>
    <xf numFmtId="43" fontId="64" fillId="2" borderId="4" xfId="1" applyFont="1" applyFill="1" applyBorder="1" applyAlignment="1">
      <alignment horizontal="center" vertical="center" wrapText="1"/>
    </xf>
    <xf numFmtId="43" fontId="64" fillId="2" borderId="5" xfId="1" applyFont="1" applyFill="1" applyBorder="1" applyAlignment="1">
      <alignment horizontal="center" vertical="center" wrapText="1"/>
    </xf>
    <xf numFmtId="0" fontId="54" fillId="0" borderId="1" xfId="0" applyNumberFormat="1" applyFont="1" applyBorder="1" applyAlignment="1">
      <alignment horizontal="center" vertical="center"/>
    </xf>
    <xf numFmtId="0" fontId="47" fillId="0" borderId="1" xfId="0" applyNumberFormat="1" applyFont="1" applyBorder="1" applyAlignment="1">
      <alignment horizontal="center" vertical="center"/>
    </xf>
    <xf numFmtId="0" fontId="53" fillId="0" borderId="1" xfId="1" applyNumberFormat="1" applyFont="1" applyFill="1" applyBorder="1" applyAlignment="1">
      <alignment horizontal="center" vertical="center"/>
    </xf>
    <xf numFmtId="0" fontId="55" fillId="3" borderId="1" xfId="0" applyNumberFormat="1" applyFont="1" applyFill="1" applyBorder="1" applyAlignment="1">
      <alignment horizontal="center" vertical="center" wrapText="1"/>
    </xf>
    <xf numFmtId="0" fontId="57" fillId="4" borderId="1" xfId="0" applyNumberFormat="1" applyFont="1" applyFill="1" applyBorder="1" applyAlignment="1">
      <alignment horizontal="center" vertical="center" wrapText="1"/>
    </xf>
    <xf numFmtId="0" fontId="57" fillId="5" borderId="1" xfId="0" applyNumberFormat="1" applyFont="1" applyFill="1" applyBorder="1" applyAlignment="1">
      <alignment horizontal="center" vertical="center" wrapText="1"/>
    </xf>
    <xf numFmtId="0" fontId="61" fillId="4" borderId="1" xfId="0" applyNumberFormat="1" applyFont="1" applyFill="1" applyBorder="1" applyAlignment="1">
      <alignment horizontal="center" vertical="center"/>
    </xf>
    <xf numFmtId="0" fontId="57" fillId="4" borderId="1" xfId="0" applyNumberFormat="1" applyFont="1" applyFill="1" applyBorder="1" applyAlignment="1">
      <alignment horizontal="center" vertical="center"/>
    </xf>
    <xf numFmtId="0" fontId="57" fillId="4" borderId="0" xfId="0" applyNumberFormat="1" applyFont="1" applyFill="1" applyAlignment="1">
      <alignment horizontal="center" vertical="center" wrapText="1"/>
    </xf>
    <xf numFmtId="0" fontId="61" fillId="5" borderId="1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63" fillId="3" borderId="1" xfId="0" applyNumberFormat="1" applyFont="1" applyFill="1" applyBorder="1" applyAlignment="1">
      <alignment horizontal="center" vertical="center" wrapText="1"/>
    </xf>
    <xf numFmtId="0" fontId="64" fillId="4" borderId="1" xfId="0" applyNumberFormat="1" applyFont="1" applyFill="1" applyBorder="1" applyAlignment="1">
      <alignment horizontal="center" vertical="center" wrapText="1"/>
    </xf>
    <xf numFmtId="0" fontId="64" fillId="5" borderId="1" xfId="0" applyNumberFormat="1" applyFont="1" applyFill="1" applyBorder="1" applyAlignment="1">
      <alignment horizontal="center" vertical="center" wrapText="1"/>
    </xf>
    <xf numFmtId="0" fontId="68" fillId="4" borderId="1" xfId="0" applyNumberFormat="1" applyFont="1" applyFill="1" applyBorder="1" applyAlignment="1">
      <alignment horizontal="center" vertical="center"/>
    </xf>
    <xf numFmtId="0" fontId="68" fillId="5" borderId="1" xfId="0" applyNumberFormat="1" applyFont="1" applyFill="1" applyBorder="1" applyAlignment="1">
      <alignment horizontal="center" vertical="center"/>
    </xf>
    <xf numFmtId="0" fontId="64" fillId="4" borderId="1" xfId="0" applyNumberFormat="1" applyFont="1" applyFill="1" applyBorder="1" applyAlignment="1">
      <alignment horizontal="center" vertical="center"/>
    </xf>
    <xf numFmtId="0" fontId="64" fillId="5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/>
    </xf>
    <xf numFmtId="164" fontId="53" fillId="0" borderId="1" xfId="1" applyNumberFormat="1" applyFont="1" applyFill="1" applyBorder="1" applyAlignment="1">
      <alignment horizontal="center" vertical="center"/>
    </xf>
    <xf numFmtId="49" fontId="49" fillId="0" borderId="1" xfId="0" applyNumberFormat="1" applyFont="1" applyBorder="1" applyAlignment="1">
      <alignment horizontal="center" vertical="center"/>
    </xf>
    <xf numFmtId="49" fontId="49" fillId="0" borderId="1" xfId="0" applyNumberFormat="1" applyFont="1" applyFill="1" applyBorder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49" fontId="48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37" fillId="0" borderId="1" xfId="0" applyNumberFormat="1" applyFont="1" applyBorder="1" applyAlignment="1">
      <alignment horizontal="center" vertical="center"/>
    </xf>
    <xf numFmtId="49" fontId="40" fillId="0" borderId="1" xfId="0" applyNumberFormat="1" applyFont="1" applyFill="1" applyBorder="1" applyAlignment="1">
      <alignment horizontal="center" vertical="center"/>
    </xf>
    <xf numFmtId="0" fontId="48" fillId="0" borderId="1" xfId="0" applyNumberFormat="1" applyFont="1" applyBorder="1" applyAlignment="1">
      <alignment horizontal="center" vertical="center"/>
    </xf>
    <xf numFmtId="43" fontId="11" fillId="0" borderId="1" xfId="1" applyFont="1" applyBorder="1" applyAlignment="1">
      <alignment horizontal="center" vertical="center"/>
    </xf>
    <xf numFmtId="43" fontId="48" fillId="0" borderId="1" xfId="1" applyFont="1" applyBorder="1" applyAlignment="1">
      <alignment horizontal="center" vertical="center"/>
    </xf>
    <xf numFmtId="49" fontId="48" fillId="0" borderId="0" xfId="0" applyNumberFormat="1" applyFont="1" applyAlignment="1">
      <alignment horizontal="center" vertical="center"/>
    </xf>
    <xf numFmtId="49" fontId="48" fillId="0" borderId="1" xfId="0" applyNumberFormat="1" applyFont="1" applyFill="1" applyBorder="1" applyAlignment="1">
      <alignment horizontal="center" vertical="center"/>
    </xf>
    <xf numFmtId="49" fontId="46" fillId="0" borderId="1" xfId="0" applyNumberFormat="1" applyFont="1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49" fontId="32" fillId="0" borderId="1" xfId="0" applyNumberFormat="1" applyFont="1" applyBorder="1" applyAlignment="1">
      <alignment horizontal="center" vertical="center"/>
    </xf>
    <xf numFmtId="49" fontId="32" fillId="0" borderId="1" xfId="0" applyNumberFormat="1" applyFont="1" applyFill="1" applyBorder="1" applyAlignment="1">
      <alignment horizontal="center" vertical="center"/>
    </xf>
    <xf numFmtId="0" fontId="32" fillId="0" borderId="1" xfId="0" applyNumberFormat="1" applyFont="1" applyBorder="1" applyAlignment="1">
      <alignment horizontal="center" vertical="center"/>
    </xf>
    <xf numFmtId="49" fontId="46" fillId="0" borderId="1" xfId="0" applyNumberFormat="1" applyFont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43" fontId="48" fillId="0" borderId="1" xfId="1" applyFont="1" applyFill="1" applyBorder="1" applyAlignment="1">
      <alignment horizontal="center" vertical="center"/>
    </xf>
    <xf numFmtId="49" fontId="48" fillId="0" borderId="0" xfId="0" applyNumberFormat="1" applyFont="1" applyFill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40" fillId="0" borderId="1" xfId="0" applyNumberFormat="1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49" fontId="27" fillId="0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36" fillId="0" borderId="1" xfId="0" applyNumberFormat="1" applyFont="1" applyFill="1" applyBorder="1" applyAlignment="1">
      <alignment horizontal="center" vertical="center"/>
    </xf>
    <xf numFmtId="49" fontId="36" fillId="0" borderId="1" xfId="0" applyNumberFormat="1" applyFont="1" applyBorder="1" applyAlignment="1">
      <alignment horizontal="center" vertical="center"/>
    </xf>
    <xf numFmtId="49" fontId="21" fillId="0" borderId="1" xfId="0" applyNumberFormat="1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49" fontId="18" fillId="0" borderId="1" xfId="0" applyNumberFormat="1" applyFont="1" applyFill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/>
    </xf>
    <xf numFmtId="49" fontId="48" fillId="2" borderId="0" xfId="0" applyNumberFormat="1" applyFont="1" applyFill="1" applyAlignment="1">
      <alignment horizontal="center" vertical="center"/>
    </xf>
    <xf numFmtId="49" fontId="35" fillId="0" borderId="1" xfId="0" applyNumberFormat="1" applyFont="1" applyBorder="1" applyAlignment="1">
      <alignment horizontal="center" vertical="center"/>
    </xf>
    <xf numFmtId="49" fontId="34" fillId="0" borderId="1" xfId="0" applyNumberFormat="1" applyFont="1" applyFill="1" applyBorder="1" applyAlignment="1">
      <alignment horizontal="center" vertical="center"/>
    </xf>
    <xf numFmtId="49" fontId="53" fillId="0" borderId="1" xfId="2" applyNumberFormat="1" applyFont="1" applyBorder="1" applyAlignment="1">
      <alignment horizontal="center" vertical="center"/>
    </xf>
    <xf numFmtId="49" fontId="39" fillId="0" borderId="1" xfId="0" applyNumberFormat="1" applyFont="1" applyFill="1" applyBorder="1" applyAlignment="1">
      <alignment horizontal="center" vertical="center"/>
    </xf>
    <xf numFmtId="49" fontId="39" fillId="0" borderId="1" xfId="0" applyNumberFormat="1" applyFont="1" applyBorder="1" applyAlignment="1">
      <alignment horizontal="center" vertical="center"/>
    </xf>
    <xf numFmtId="49" fontId="53" fillId="0" borderId="1" xfId="2" applyNumberFormat="1" applyFont="1" applyFill="1" applyBorder="1" applyAlignment="1">
      <alignment horizontal="center" vertical="center"/>
    </xf>
    <xf numFmtId="0" fontId="48" fillId="0" borderId="1" xfId="0" applyNumberFormat="1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49" fontId="31" fillId="0" borderId="1" xfId="0" applyNumberFormat="1" applyFont="1" applyFill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49" fontId="47" fillId="0" borderId="1" xfId="0" applyNumberFormat="1" applyFont="1" applyBorder="1" applyAlignment="1">
      <alignment horizontal="center" vertical="center"/>
    </xf>
    <xf numFmtId="43" fontId="47" fillId="0" borderId="1" xfId="1" applyFont="1" applyBorder="1" applyAlignment="1">
      <alignment horizontal="center" vertical="center"/>
    </xf>
    <xf numFmtId="49" fontId="38" fillId="0" borderId="1" xfId="0" applyNumberFormat="1" applyFont="1" applyBorder="1" applyAlignment="1">
      <alignment horizontal="center" vertical="center"/>
    </xf>
    <xf numFmtId="0" fontId="54" fillId="0" borderId="1" xfId="0" applyFont="1" applyFill="1" applyBorder="1" applyAlignment="1">
      <alignment horizontal="center" vertical="center"/>
    </xf>
    <xf numFmtId="0" fontId="47" fillId="0" borderId="1" xfId="0" applyNumberFormat="1" applyFont="1" applyFill="1" applyBorder="1" applyAlignment="1">
      <alignment horizontal="center" vertical="center"/>
    </xf>
    <xf numFmtId="49" fontId="53" fillId="0" borderId="1" xfId="0" applyNumberFormat="1" applyFont="1" applyBorder="1" applyAlignment="1">
      <alignment horizontal="center" vertical="top"/>
    </xf>
    <xf numFmtId="49" fontId="13" fillId="0" borderId="1" xfId="0" applyNumberFormat="1" applyFont="1" applyBorder="1" applyAlignment="1">
      <alignment horizontal="center" vertical="center"/>
    </xf>
    <xf numFmtId="49" fontId="26" fillId="0" borderId="1" xfId="0" applyNumberFormat="1" applyFont="1" applyBorder="1" applyAlignment="1">
      <alignment horizontal="center" vertical="center"/>
    </xf>
    <xf numFmtId="0" fontId="26" fillId="0" borderId="1" xfId="0" applyNumberFormat="1" applyFont="1" applyBorder="1" applyAlignment="1">
      <alignment horizontal="center" vertical="center"/>
    </xf>
    <xf numFmtId="49" fontId="38" fillId="0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49" fontId="25" fillId="0" borderId="1" xfId="0" applyNumberFormat="1" applyFont="1" applyFill="1" applyBorder="1" applyAlignment="1">
      <alignment horizontal="center" vertical="center"/>
    </xf>
    <xf numFmtId="49" fontId="25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Fill="1" applyBorder="1" applyAlignment="1">
      <alignment horizontal="center" vertical="center"/>
    </xf>
    <xf numFmtId="49" fontId="42" fillId="0" borderId="1" xfId="0" applyNumberFormat="1" applyFont="1" applyBorder="1" applyAlignment="1">
      <alignment horizontal="center" vertical="center"/>
    </xf>
    <xf numFmtId="49" fontId="30" fillId="0" borderId="1" xfId="0" applyNumberFormat="1" applyFont="1" applyBorder="1" applyAlignment="1">
      <alignment horizontal="center" vertical="center"/>
    </xf>
    <xf numFmtId="49" fontId="41" fillId="0" borderId="1" xfId="0" applyNumberFormat="1" applyFont="1" applyFill="1" applyBorder="1" applyAlignment="1">
      <alignment horizontal="center" vertical="center"/>
    </xf>
    <xf numFmtId="49" fontId="42" fillId="0" borderId="1" xfId="0" applyNumberFormat="1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0" fontId="20" fillId="0" borderId="1" xfId="0" applyNumberFormat="1" applyFont="1" applyBorder="1" applyAlignment="1">
      <alignment horizontal="center" vertical="center"/>
    </xf>
    <xf numFmtId="49" fontId="43" fillId="0" borderId="1" xfId="0" applyNumberFormat="1" applyFont="1" applyBorder="1" applyAlignment="1">
      <alignment horizontal="center" vertical="center"/>
    </xf>
    <xf numFmtId="49" fontId="43" fillId="0" borderId="1" xfId="0" applyNumberFormat="1" applyFont="1" applyFill="1" applyBorder="1" applyAlignment="1">
      <alignment horizontal="center" vertical="center"/>
    </xf>
    <xf numFmtId="49" fontId="44" fillId="0" borderId="1" xfId="0" applyNumberFormat="1" applyFont="1" applyFill="1" applyBorder="1" applyAlignment="1">
      <alignment horizontal="center" vertical="center"/>
    </xf>
    <xf numFmtId="49" fontId="44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17" fillId="0" borderId="1" xfId="0" applyNumberFormat="1" applyFont="1" applyBorder="1" applyAlignment="1">
      <alignment horizontal="center" vertical="center"/>
    </xf>
    <xf numFmtId="14" fontId="48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/>
    </xf>
    <xf numFmtId="49" fontId="45" fillId="0" borderId="1" xfId="0" applyNumberFormat="1" applyFont="1" applyBorder="1" applyAlignment="1">
      <alignment horizontal="center" vertical="center"/>
    </xf>
    <xf numFmtId="0" fontId="45" fillId="0" borderId="1" xfId="0" applyNumberFormat="1" applyFont="1" applyBorder="1" applyAlignment="1">
      <alignment horizontal="center" vertical="center"/>
    </xf>
    <xf numFmtId="43" fontId="45" fillId="0" borderId="1" xfId="1" applyFont="1" applyBorder="1" applyAlignment="1">
      <alignment horizontal="center" vertical="center"/>
    </xf>
    <xf numFmtId="49" fontId="45" fillId="0" borderId="1" xfId="0" applyNumberFormat="1" applyFont="1" applyFill="1" applyBorder="1" applyAlignment="1">
      <alignment horizontal="center" vertical="center"/>
    </xf>
    <xf numFmtId="43" fontId="45" fillId="0" borderId="1" xfId="1" applyFont="1" applyFill="1" applyBorder="1" applyAlignment="1">
      <alignment horizontal="center" vertical="center"/>
    </xf>
    <xf numFmtId="4" fontId="53" fillId="0" borderId="1" xfId="1" applyNumberFormat="1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Fill="1" applyBorder="1" applyAlignment="1">
      <alignment horizontal="center" vertical="center"/>
    </xf>
    <xf numFmtId="49" fontId="53" fillId="0" borderId="1" xfId="0" applyNumberFormat="1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49" fontId="41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49" fontId="33" fillId="0" borderId="1" xfId="0" applyNumberFormat="1" applyFont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0" fontId="48" fillId="0" borderId="0" xfId="0" applyNumberFormat="1" applyFont="1" applyAlignment="1">
      <alignment horizontal="center" vertical="center"/>
    </xf>
    <xf numFmtId="43" fontId="49" fillId="0" borderId="1" xfId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3" fontId="0" fillId="0" borderId="0" xfId="1" applyFont="1"/>
    <xf numFmtId="0" fontId="0" fillId="2" borderId="0" xfId="0" applyFill="1"/>
    <xf numFmtId="43" fontId="0" fillId="2" borderId="0" xfId="1" applyFont="1" applyFill="1"/>
    <xf numFmtId="0" fontId="0" fillId="0" borderId="0" xfId="0" applyAlignment="1">
      <alignment horizontal="center" vertical="center"/>
    </xf>
    <xf numFmtId="43" fontId="11" fillId="0" borderId="1" xfId="1" applyNumberFormat="1" applyFont="1" applyBorder="1" applyAlignment="1">
      <alignment horizontal="center" vertical="center"/>
    </xf>
    <xf numFmtId="43" fontId="6" fillId="0" borderId="1" xfId="0" applyNumberFormat="1" applyFont="1" applyBorder="1" applyAlignment="1">
      <alignment horizontal="center" vertical="center"/>
    </xf>
    <xf numFmtId="49" fontId="49" fillId="6" borderId="1" xfId="0" applyNumberFormat="1" applyFont="1" applyFill="1" applyBorder="1" applyAlignment="1">
      <alignment horizontal="center" vertical="center"/>
    </xf>
    <xf numFmtId="0" fontId="49" fillId="6" borderId="1" xfId="0" applyNumberFormat="1" applyFont="1" applyFill="1" applyBorder="1" applyAlignment="1">
      <alignment horizontal="center" vertical="center"/>
    </xf>
    <xf numFmtId="49" fontId="48" fillId="6" borderId="0" xfId="0" applyNumberFormat="1" applyFont="1" applyFill="1" applyAlignment="1">
      <alignment horizontal="center" vertical="center"/>
    </xf>
    <xf numFmtId="49" fontId="49" fillId="6" borderId="0" xfId="0" applyNumberFormat="1" applyFont="1" applyFill="1" applyAlignment="1">
      <alignment horizontal="center" vertical="center"/>
    </xf>
    <xf numFmtId="0" fontId="48" fillId="6" borderId="0" xfId="0" applyNumberFormat="1" applyFont="1" applyFill="1" applyAlignment="1">
      <alignment horizontal="center" vertical="center"/>
    </xf>
    <xf numFmtId="43" fontId="49" fillId="6" borderId="0" xfId="0" applyNumberFormat="1" applyFont="1" applyFill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2" xr:uid="{9A94B0B2-4AE0-48F9-B5AF-28B15C720510}"/>
    <cellStyle name="Финансовый" xfId="1" builtinId="3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59"/>
  <sheetViews>
    <sheetView tabSelected="1" view="pageBreakPreview" topLeftCell="S1" zoomScale="85" zoomScaleNormal="100" zoomScaleSheetLayoutView="85" workbookViewId="0">
      <pane ySplit="1" topLeftCell="A2" activePane="bottomLeft" state="frozen"/>
      <selection pane="bottomLeft" activeCell="AC1" sqref="AC1"/>
    </sheetView>
  </sheetViews>
  <sheetFormatPr defaultColWidth="99.140625" defaultRowHeight="15"/>
  <cols>
    <col min="1" max="1" width="8.7109375" style="78" bestFit="1" customWidth="1"/>
    <col min="2" max="2" width="10.5703125" style="78" bestFit="1" customWidth="1"/>
    <col min="3" max="3" width="28.7109375" style="78" bestFit="1" customWidth="1"/>
    <col min="4" max="4" width="38.85546875" style="78" bestFit="1" customWidth="1"/>
    <col min="5" max="5" width="18.42578125" style="78" bestFit="1" customWidth="1"/>
    <col min="6" max="6" width="21.42578125" style="78" bestFit="1" customWidth="1"/>
    <col min="7" max="8" width="11.5703125" style="78" customWidth="1"/>
    <col min="9" max="9" width="17.28515625" style="78" customWidth="1"/>
    <col min="10" max="10" width="18.140625" style="78" customWidth="1"/>
    <col min="11" max="11" width="21.42578125" style="78" customWidth="1"/>
    <col min="12" max="12" width="83.140625" style="78" customWidth="1"/>
    <col min="13" max="13" width="18.7109375" style="78" customWidth="1"/>
    <col min="14" max="14" width="18.7109375" style="161" customWidth="1"/>
    <col min="15" max="18" width="18.7109375" style="78" customWidth="1"/>
    <col min="19" max="19" width="14.7109375" style="78" bestFit="1" customWidth="1"/>
    <col min="20" max="29" width="18.7109375" style="78" customWidth="1"/>
    <col min="30" max="30" width="21.85546875" style="78" bestFit="1" customWidth="1"/>
    <col min="31" max="31" width="24" style="78" bestFit="1" customWidth="1"/>
    <col min="32" max="16384" width="99.140625" style="78"/>
  </cols>
  <sheetData>
    <row r="1" spans="1:31" s="70" customFormat="1">
      <c r="A1" s="174" t="s">
        <v>32</v>
      </c>
      <c r="B1" s="174" t="s">
        <v>1754</v>
      </c>
      <c r="C1" s="174" t="s">
        <v>26</v>
      </c>
      <c r="D1" s="174" t="s">
        <v>27</v>
      </c>
      <c r="E1" s="174" t="s">
        <v>28</v>
      </c>
      <c r="F1" s="174" t="s">
        <v>0</v>
      </c>
      <c r="G1" s="174" t="s">
        <v>29</v>
      </c>
      <c r="H1" s="174" t="s">
        <v>1772</v>
      </c>
      <c r="I1" s="174" t="s">
        <v>2108</v>
      </c>
      <c r="J1" s="174" t="s">
        <v>30</v>
      </c>
      <c r="K1" s="174" t="s">
        <v>31</v>
      </c>
      <c r="L1" s="174" t="s">
        <v>25</v>
      </c>
      <c r="M1" s="174" t="s">
        <v>1</v>
      </c>
      <c r="N1" s="175" t="s">
        <v>2</v>
      </c>
      <c r="O1" s="174" t="s">
        <v>2102</v>
      </c>
      <c r="P1" s="174" t="s">
        <v>2103</v>
      </c>
      <c r="Q1" s="174" t="s">
        <v>2104</v>
      </c>
      <c r="R1" s="174" t="s">
        <v>2105</v>
      </c>
      <c r="S1" s="174" t="s">
        <v>2106</v>
      </c>
      <c r="T1" s="174" t="s">
        <v>2107</v>
      </c>
      <c r="U1" s="174" t="s">
        <v>2113</v>
      </c>
      <c r="V1" s="174" t="s">
        <v>2166</v>
      </c>
      <c r="W1" s="174" t="s">
        <v>2167</v>
      </c>
      <c r="X1" s="174" t="s">
        <v>2168</v>
      </c>
      <c r="Y1" s="174" t="s">
        <v>2169</v>
      </c>
      <c r="Z1" s="174" t="s">
        <v>2170</v>
      </c>
      <c r="AA1" s="174" t="s">
        <v>2110</v>
      </c>
      <c r="AB1" s="174" t="s">
        <v>2180</v>
      </c>
      <c r="AC1" s="174" t="s">
        <v>2181</v>
      </c>
      <c r="AD1" s="174" t="s">
        <v>1496</v>
      </c>
      <c r="AE1" s="174" t="s">
        <v>1497</v>
      </c>
    </row>
    <row r="2" spans="1:31">
      <c r="A2" s="71" t="s">
        <v>3</v>
      </c>
      <c r="B2" s="72" t="s">
        <v>1755</v>
      </c>
      <c r="C2" s="68" t="s">
        <v>9</v>
      </c>
      <c r="D2" s="73" t="s">
        <v>1243</v>
      </c>
      <c r="E2" s="71" t="s">
        <v>364</v>
      </c>
      <c r="F2" s="74" t="s">
        <v>474</v>
      </c>
      <c r="G2" s="1" t="s">
        <v>522</v>
      </c>
      <c r="H2" s="1"/>
      <c r="I2" s="1"/>
      <c r="J2" s="71" t="s">
        <v>536</v>
      </c>
      <c r="K2" s="71" t="s">
        <v>537</v>
      </c>
      <c r="L2" s="71" t="s">
        <v>538</v>
      </c>
      <c r="M2" s="71" t="s">
        <v>539</v>
      </c>
      <c r="N2" s="75">
        <v>15897</v>
      </c>
      <c r="O2" s="76">
        <f>VLOOKUP(N2,Uzcard!C:P,4,0)</f>
        <v>8094.65</v>
      </c>
      <c r="P2" s="76">
        <f>VLOOKUP(N2,Uzcard!C:P,6,0)</f>
        <v>6413.9</v>
      </c>
      <c r="Q2" s="76">
        <f>VLOOKUP(N2,Uzcard!C:P,8,0)</f>
        <v>10669.95</v>
      </c>
      <c r="R2" s="76">
        <f>VLOOKUP(N2,Uzcard!C:P,10,0)</f>
        <v>7487.35</v>
      </c>
      <c r="S2" s="76">
        <f>VLOOKUP(N2,Uzcard!C:P,12,0)</f>
        <v>12007.15</v>
      </c>
      <c r="T2" s="76">
        <f>VLOOKUP(N2,Uzcard!C:P,14,0)</f>
        <v>8432.75</v>
      </c>
      <c r="U2" s="172">
        <f>IFERROR(VLOOKUP(N2,'2026 iyul uzcard'!A:D,3,0),"0")/1000</f>
        <v>6616.4</v>
      </c>
      <c r="V2" s="172"/>
      <c r="W2" s="172"/>
      <c r="X2" s="172"/>
      <c r="Y2" s="172"/>
      <c r="Z2" s="172"/>
      <c r="AA2" s="162">
        <f>+SUM(O2:Z2)</f>
        <v>59722.15</v>
      </c>
      <c r="AB2" s="162"/>
      <c r="AC2" s="162"/>
      <c r="AD2" s="71" t="s">
        <v>1498</v>
      </c>
      <c r="AE2" s="77">
        <v>106507213.69</v>
      </c>
    </row>
    <row r="3" spans="1:31">
      <c r="A3" s="71" t="s">
        <v>4</v>
      </c>
      <c r="B3" s="72" t="s">
        <v>1755</v>
      </c>
      <c r="C3" s="68" t="s">
        <v>9</v>
      </c>
      <c r="D3" s="73" t="s">
        <v>1243</v>
      </c>
      <c r="E3" s="71" t="s">
        <v>364</v>
      </c>
      <c r="F3" s="74" t="s">
        <v>474</v>
      </c>
      <c r="G3" s="1" t="s">
        <v>488</v>
      </c>
      <c r="H3" s="1"/>
      <c r="I3" s="1"/>
      <c r="J3" s="71" t="s">
        <v>540</v>
      </c>
      <c r="K3" s="71" t="s">
        <v>541</v>
      </c>
      <c r="L3" s="71" t="s">
        <v>538</v>
      </c>
      <c r="M3" s="71" t="s">
        <v>542</v>
      </c>
      <c r="N3" s="75">
        <v>21411</v>
      </c>
      <c r="O3" s="76">
        <f>VLOOKUP(N3,Uzcard!C:P,4,0)</f>
        <v>0</v>
      </c>
      <c r="P3" s="76">
        <f>VLOOKUP(N3,Uzcard!C:P,6,0)</f>
        <v>0</v>
      </c>
      <c r="Q3" s="76">
        <f>VLOOKUP(N3,Uzcard!C:P,8,0)</f>
        <v>0</v>
      </c>
      <c r="R3" s="76">
        <f>VLOOKUP(N3,Uzcard!C:P,10,0)</f>
        <v>0</v>
      </c>
      <c r="S3" s="76">
        <f>VLOOKUP(N3,Uzcard!C:P,12,0)</f>
        <v>0</v>
      </c>
      <c r="T3" s="76">
        <f>VLOOKUP(N3,Uzcard!C:P,14,0)</f>
        <v>0</v>
      </c>
      <c r="U3" s="172">
        <f>IFERROR(VLOOKUP(N3,'2026 iyul uzcard'!A:D,3,0),"0")/1000</f>
        <v>0</v>
      </c>
      <c r="V3" s="172"/>
      <c r="W3" s="172"/>
      <c r="X3" s="172"/>
      <c r="Y3" s="172"/>
      <c r="Z3" s="172"/>
      <c r="AA3" s="162">
        <f t="shared" ref="AA3:AA66" si="0">+SUM(O3:Z3)</f>
        <v>0</v>
      </c>
      <c r="AB3" s="162"/>
      <c r="AC3" s="162"/>
      <c r="AD3" s="71" t="s">
        <v>1499</v>
      </c>
      <c r="AE3" s="77">
        <v>100458192.72</v>
      </c>
    </row>
    <row r="4" spans="1:31">
      <c r="A4" s="71" t="s">
        <v>5</v>
      </c>
      <c r="B4" s="72" t="s">
        <v>1755</v>
      </c>
      <c r="C4" s="68" t="s">
        <v>9</v>
      </c>
      <c r="D4" s="73" t="s">
        <v>1243</v>
      </c>
      <c r="E4" s="71" t="s">
        <v>370</v>
      </c>
      <c r="F4" s="79" t="s">
        <v>376</v>
      </c>
      <c r="G4" s="1" t="s">
        <v>522</v>
      </c>
      <c r="H4" s="1" t="s">
        <v>1773</v>
      </c>
      <c r="I4" s="67">
        <v>1848</v>
      </c>
      <c r="J4" s="80" t="s">
        <v>604</v>
      </c>
      <c r="K4" s="81" t="s">
        <v>1510</v>
      </c>
      <c r="L4" s="71" t="s">
        <v>538</v>
      </c>
      <c r="M4" s="71" t="s">
        <v>544</v>
      </c>
      <c r="N4" s="82" t="s">
        <v>545</v>
      </c>
      <c r="O4" s="76">
        <f>VLOOKUP(N4,Humo!C:P,4,0)</f>
        <v>7871.2</v>
      </c>
      <c r="P4" s="77">
        <f>VLOOKUP(N4,Humo!C:P,6,0)</f>
        <v>7654</v>
      </c>
      <c r="Q4" s="77">
        <f>VLOOKUP(N4,Humo!C:P,8,0)</f>
        <v>9045.1</v>
      </c>
      <c r="R4" s="77">
        <f>VLOOKUP(N4,Humo!C:P,10,0)</f>
        <v>7816.1</v>
      </c>
      <c r="S4" s="77">
        <f>VLOOKUP(N4,Humo!C:P,12,0)</f>
        <v>7770.9</v>
      </c>
      <c r="T4" s="77">
        <f>VLOOKUP(N4,Humo!C:P,14,0)</f>
        <v>6855.7</v>
      </c>
      <c r="U4" s="77">
        <f>IFERROR(VLOOKUP(N4,'2026 iyul humo'!A:D,4,0),"0")/1000</f>
        <v>4233</v>
      </c>
      <c r="V4" s="77"/>
      <c r="W4" s="77"/>
      <c r="X4" s="77"/>
      <c r="Y4" s="77"/>
      <c r="Z4" s="77"/>
      <c r="AA4" s="162">
        <f t="shared" si="0"/>
        <v>51246</v>
      </c>
      <c r="AB4" s="162"/>
      <c r="AC4" s="162"/>
      <c r="AD4" s="71" t="s">
        <v>1511</v>
      </c>
      <c r="AE4" s="77">
        <v>168243023</v>
      </c>
    </row>
    <row r="5" spans="1:31">
      <c r="A5" s="71" t="s">
        <v>6</v>
      </c>
      <c r="B5" s="72" t="s">
        <v>1755</v>
      </c>
      <c r="C5" s="68" t="s">
        <v>9</v>
      </c>
      <c r="D5" s="73" t="s">
        <v>1243</v>
      </c>
      <c r="E5" s="83" t="s">
        <v>364</v>
      </c>
      <c r="F5" s="84" t="s">
        <v>1162</v>
      </c>
      <c r="G5" s="1" t="s">
        <v>522</v>
      </c>
      <c r="H5" s="1" t="s">
        <v>1780</v>
      </c>
      <c r="I5" s="67">
        <v>1128.7</v>
      </c>
      <c r="J5" s="83" t="s">
        <v>1371</v>
      </c>
      <c r="K5" s="83" t="s">
        <v>1372</v>
      </c>
      <c r="L5" s="71" t="s">
        <v>538</v>
      </c>
      <c r="M5" s="83" t="s">
        <v>1373</v>
      </c>
      <c r="N5" s="85">
        <v>39945</v>
      </c>
      <c r="O5" s="76">
        <f>VLOOKUP(N5,Uzcard!C:P,4,0)</f>
        <v>0</v>
      </c>
      <c r="P5" s="76">
        <f>VLOOKUP(N5,Uzcard!C:P,6,0)</f>
        <v>0</v>
      </c>
      <c r="Q5" s="76">
        <f>VLOOKUP(N5,Uzcard!C:P,8,0)</f>
        <v>0</v>
      </c>
      <c r="R5" s="76">
        <f>VLOOKUP(N5,Uzcard!C:P,10,0)</f>
        <v>0</v>
      </c>
      <c r="S5" s="76">
        <f>VLOOKUP(N5,Uzcard!C:P,12,0)</f>
        <v>0</v>
      </c>
      <c r="T5" s="76">
        <f>VLOOKUP(N5,Uzcard!C:P,14,0)</f>
        <v>368</v>
      </c>
      <c r="U5" s="172">
        <f>IFERROR(VLOOKUP(N5,'2026 iyul uzcard'!A:D,3,0),"0")/1000</f>
        <v>3937.55</v>
      </c>
      <c r="V5" s="172"/>
      <c r="W5" s="172"/>
      <c r="X5" s="172"/>
      <c r="Y5" s="172"/>
      <c r="Z5" s="172"/>
      <c r="AA5" s="162">
        <f t="shared" si="0"/>
        <v>4305.55</v>
      </c>
      <c r="AB5" s="162"/>
      <c r="AC5" s="162"/>
      <c r="AD5" s="71" t="s">
        <v>1501</v>
      </c>
      <c r="AE5" s="77">
        <v>362504800</v>
      </c>
    </row>
    <row r="6" spans="1:31">
      <c r="A6" s="71" t="s">
        <v>7</v>
      </c>
      <c r="B6" s="72" t="s">
        <v>1755</v>
      </c>
      <c r="C6" s="68" t="s">
        <v>9</v>
      </c>
      <c r="D6" s="86" t="s">
        <v>548</v>
      </c>
      <c r="E6" s="71" t="s">
        <v>364</v>
      </c>
      <c r="F6" s="74" t="s">
        <v>475</v>
      </c>
      <c r="G6" s="1" t="s">
        <v>522</v>
      </c>
      <c r="H6" s="1" t="s">
        <v>1780</v>
      </c>
      <c r="I6" s="67">
        <v>1128.7</v>
      </c>
      <c r="J6" s="71" t="s">
        <v>549</v>
      </c>
      <c r="K6" s="71" t="s">
        <v>550</v>
      </c>
      <c r="L6" s="71" t="s">
        <v>551</v>
      </c>
      <c r="M6" s="71">
        <v>901120485</v>
      </c>
      <c r="N6" s="75">
        <v>21378</v>
      </c>
      <c r="O6" s="76">
        <f>VLOOKUP(N6,Uzcard!C:P,4,0)</f>
        <v>15166.55</v>
      </c>
      <c r="P6" s="76">
        <f>VLOOKUP(N6,Uzcard!C:P,6,0)</f>
        <v>11555.45</v>
      </c>
      <c r="Q6" s="76">
        <f>VLOOKUP(N6,Uzcard!C:P,8,0)</f>
        <v>23330.95</v>
      </c>
      <c r="R6" s="76">
        <f>VLOOKUP(N6,Uzcard!C:P,10,0)</f>
        <v>14936.2</v>
      </c>
      <c r="S6" s="76">
        <f>VLOOKUP(N6,Uzcard!C:P,12,0)</f>
        <v>20702.099999999999</v>
      </c>
      <c r="T6" s="76">
        <f>VLOOKUP(N6,Uzcard!C:P,14,0)</f>
        <v>19757.150000000001</v>
      </c>
      <c r="U6" s="172">
        <f>IFERROR(VLOOKUP(N6,'2026 iyul uzcard'!A:D,3,0),"0")/1000</f>
        <v>10909.4</v>
      </c>
      <c r="V6" s="172"/>
      <c r="W6" s="172"/>
      <c r="X6" s="172"/>
      <c r="Y6" s="172"/>
      <c r="Z6" s="172"/>
      <c r="AA6" s="162">
        <f t="shared" si="0"/>
        <v>116357.79999999999</v>
      </c>
      <c r="AB6" s="162"/>
      <c r="AC6" s="162"/>
      <c r="AD6" s="71" t="s">
        <v>1502</v>
      </c>
      <c r="AE6" s="77">
        <v>131315497</v>
      </c>
    </row>
    <row r="7" spans="1:31" s="89" customFormat="1">
      <c r="A7" s="71" t="s">
        <v>8</v>
      </c>
      <c r="B7" s="72" t="s">
        <v>1755</v>
      </c>
      <c r="C7" s="69" t="s">
        <v>9</v>
      </c>
      <c r="D7" s="86" t="s">
        <v>548</v>
      </c>
      <c r="E7" s="79" t="s">
        <v>370</v>
      </c>
      <c r="F7" s="74" t="s">
        <v>475</v>
      </c>
      <c r="G7" s="1" t="s">
        <v>522</v>
      </c>
      <c r="H7" s="1" t="s">
        <v>1773</v>
      </c>
      <c r="I7" s="67">
        <v>1848</v>
      </c>
      <c r="J7" s="79" t="s">
        <v>552</v>
      </c>
      <c r="K7" s="79" t="s">
        <v>553</v>
      </c>
      <c r="L7" s="79" t="s">
        <v>551</v>
      </c>
      <c r="M7" s="79" t="s">
        <v>554</v>
      </c>
      <c r="N7" s="87" t="s">
        <v>555</v>
      </c>
      <c r="O7" s="76">
        <f>VLOOKUP(N7,Humo!C:P,4,0)</f>
        <v>3039.6</v>
      </c>
      <c r="P7" s="77">
        <f>VLOOKUP(N7,Humo!C:P,6,0)</f>
        <v>7755.6</v>
      </c>
      <c r="Q7" s="77">
        <f>VLOOKUP(N7,Humo!C:P,8,0)</f>
        <v>11574.2</v>
      </c>
      <c r="R7" s="77">
        <f>VLOOKUP(N7,Humo!C:P,10,0)</f>
        <v>5240.3</v>
      </c>
      <c r="S7" s="77">
        <f>VLOOKUP(N7,Humo!C:P,12,0)</f>
        <v>12583.5</v>
      </c>
      <c r="T7" s="77">
        <f>VLOOKUP(N7,Humo!C:P,14,0)</f>
        <v>15923</v>
      </c>
      <c r="U7" s="77">
        <f>IFERROR(VLOOKUP(N7,'2026 iyul humo'!A:D,4,0),"0")/1000</f>
        <v>12575.4</v>
      </c>
      <c r="V7" s="77"/>
      <c r="W7" s="77"/>
      <c r="X7" s="77"/>
      <c r="Y7" s="77"/>
      <c r="Z7" s="77"/>
      <c r="AA7" s="162">
        <f t="shared" si="0"/>
        <v>68691.599999999991</v>
      </c>
      <c r="AB7" s="162"/>
      <c r="AC7" s="162"/>
      <c r="AD7" s="79" t="s">
        <v>1500</v>
      </c>
      <c r="AE7" s="88">
        <v>105827950</v>
      </c>
    </row>
    <row r="8" spans="1:31" s="89" customFormat="1">
      <c r="A8" s="71" t="s">
        <v>33</v>
      </c>
      <c r="B8" s="72" t="s">
        <v>1755</v>
      </c>
      <c r="C8" s="69" t="s">
        <v>9</v>
      </c>
      <c r="D8" s="86" t="s">
        <v>548</v>
      </c>
      <c r="E8" s="79" t="s">
        <v>370</v>
      </c>
      <c r="F8" s="74" t="s">
        <v>475</v>
      </c>
      <c r="G8" s="1" t="s">
        <v>522</v>
      </c>
      <c r="H8" s="1" t="s">
        <v>1773</v>
      </c>
      <c r="I8" s="67">
        <v>1848</v>
      </c>
      <c r="J8" s="79" t="s">
        <v>556</v>
      </c>
      <c r="K8" s="79" t="s">
        <v>557</v>
      </c>
      <c r="L8" s="79" t="s">
        <v>558</v>
      </c>
      <c r="M8" s="79" t="s">
        <v>559</v>
      </c>
      <c r="N8" s="87" t="s">
        <v>560</v>
      </c>
      <c r="O8" s="76">
        <f>VLOOKUP(N8,Humo!C:P,4,0)</f>
        <v>8943.2999999999993</v>
      </c>
      <c r="P8" s="77">
        <f>VLOOKUP(N8,Humo!C:P,6,0)</f>
        <v>6374.4</v>
      </c>
      <c r="Q8" s="77">
        <f>VLOOKUP(N8,Humo!C:P,8,0)</f>
        <v>10319.1</v>
      </c>
      <c r="R8" s="77">
        <f>VLOOKUP(N8,Humo!C:P,10,0)</f>
        <v>5161.6000000000004</v>
      </c>
      <c r="S8" s="77">
        <f>VLOOKUP(N8,Humo!C:P,12,0)</f>
        <v>1333</v>
      </c>
      <c r="T8" s="77">
        <f>VLOOKUP(N8,Humo!C:P,14,0)</f>
        <v>8969.6</v>
      </c>
      <c r="U8" s="77">
        <f>IFERROR(VLOOKUP(N8,'2026 iyul humo'!A:D,4,0),"0")/1000</f>
        <v>8537.35</v>
      </c>
      <c r="V8" s="77"/>
      <c r="W8" s="77"/>
      <c r="X8" s="77"/>
      <c r="Y8" s="77"/>
      <c r="Z8" s="77"/>
      <c r="AA8" s="162">
        <f t="shared" si="0"/>
        <v>49638.35</v>
      </c>
      <c r="AB8" s="162"/>
      <c r="AC8" s="162"/>
      <c r="AD8" s="79" t="s">
        <v>1503</v>
      </c>
      <c r="AE8" s="88">
        <v>105827950</v>
      </c>
    </row>
    <row r="9" spans="1:31">
      <c r="A9" s="71" t="s">
        <v>34</v>
      </c>
      <c r="B9" s="72" t="s">
        <v>1755</v>
      </c>
      <c r="C9" s="68" t="s">
        <v>9</v>
      </c>
      <c r="D9" s="86" t="s">
        <v>548</v>
      </c>
      <c r="E9" s="71" t="s">
        <v>370</v>
      </c>
      <c r="F9" s="79" t="s">
        <v>371</v>
      </c>
      <c r="G9" s="1" t="s">
        <v>522</v>
      </c>
      <c r="H9" s="1" t="s">
        <v>1773</v>
      </c>
      <c r="I9" s="67">
        <v>1848</v>
      </c>
      <c r="J9" s="79" t="s">
        <v>561</v>
      </c>
      <c r="K9" s="71" t="s">
        <v>562</v>
      </c>
      <c r="L9" s="71" t="s">
        <v>558</v>
      </c>
      <c r="M9" s="71" t="s">
        <v>563</v>
      </c>
      <c r="N9" s="82" t="s">
        <v>564</v>
      </c>
      <c r="O9" s="76">
        <f>VLOOKUP(N9,Humo!C:P,4,0)</f>
        <v>0</v>
      </c>
      <c r="P9" s="77">
        <f>VLOOKUP(N9,Humo!C:P,6,0)</f>
        <v>0</v>
      </c>
      <c r="Q9" s="77">
        <f>VLOOKUP(N9,Humo!C:P,8,0)</f>
        <v>0</v>
      </c>
      <c r="R9" s="77">
        <f>VLOOKUP(N9,Humo!C:P,10,0)</f>
        <v>0</v>
      </c>
      <c r="S9" s="77">
        <f>VLOOKUP(N9,Humo!C:P,12,0)</f>
        <v>0</v>
      </c>
      <c r="T9" s="77">
        <f>VLOOKUP(N9,Humo!C:P,14,0)</f>
        <v>1188.5</v>
      </c>
      <c r="U9" s="77">
        <f>IFERROR(VLOOKUP(N9,'2026 iyul humo'!A:D,4,0),"0")/1000</f>
        <v>2915.05</v>
      </c>
      <c r="V9" s="77"/>
      <c r="W9" s="77"/>
      <c r="X9" s="77"/>
      <c r="Y9" s="77"/>
      <c r="Z9" s="77"/>
      <c r="AA9" s="162">
        <f t="shared" si="0"/>
        <v>4103.55</v>
      </c>
      <c r="AB9" s="162"/>
      <c r="AC9" s="162"/>
      <c r="AD9" s="71" t="s">
        <v>1504</v>
      </c>
      <c r="AE9" s="77">
        <v>62805331</v>
      </c>
    </row>
    <row r="10" spans="1:31">
      <c r="A10" s="71" t="s">
        <v>35</v>
      </c>
      <c r="B10" s="72" t="s">
        <v>1755</v>
      </c>
      <c r="C10" s="68" t="s">
        <v>9</v>
      </c>
      <c r="D10" s="86" t="s">
        <v>565</v>
      </c>
      <c r="E10" s="71" t="s">
        <v>364</v>
      </c>
      <c r="F10" s="74" t="s">
        <v>475</v>
      </c>
      <c r="G10" s="1" t="s">
        <v>522</v>
      </c>
      <c r="H10" s="1" t="s">
        <v>1780</v>
      </c>
      <c r="I10" s="67">
        <v>1128.7</v>
      </c>
      <c r="J10" s="71" t="s">
        <v>566</v>
      </c>
      <c r="K10" s="71" t="s">
        <v>567</v>
      </c>
      <c r="L10" s="71" t="s">
        <v>568</v>
      </c>
      <c r="M10" s="71" t="s">
        <v>569</v>
      </c>
      <c r="N10" s="75">
        <v>21302</v>
      </c>
      <c r="O10" s="76">
        <f>VLOOKUP(N10,Uzcard!C:P,4,0)</f>
        <v>5307.05</v>
      </c>
      <c r="P10" s="76">
        <f>VLOOKUP(N10,Uzcard!C:P,6,0)</f>
        <v>13533.35</v>
      </c>
      <c r="Q10" s="76">
        <f>VLOOKUP(N10,Uzcard!C:P,8,0)</f>
        <v>9512.4500000000007</v>
      </c>
      <c r="R10" s="76">
        <f>VLOOKUP(N10,Uzcard!C:P,10,0)</f>
        <v>10363.25</v>
      </c>
      <c r="S10" s="76">
        <f>VLOOKUP(N10,Uzcard!C:P,12,0)</f>
        <v>13863.75</v>
      </c>
      <c r="T10" s="76">
        <f>VLOOKUP(N10,Uzcard!C:P,14,0)</f>
        <v>13463.25</v>
      </c>
      <c r="U10" s="172">
        <f>IFERROR(VLOOKUP(N10,'2026 iyul uzcard'!A:D,3,0),"0")/1000</f>
        <v>13053.9</v>
      </c>
      <c r="V10" s="172"/>
      <c r="W10" s="172"/>
      <c r="X10" s="172"/>
      <c r="Y10" s="172"/>
      <c r="Z10" s="172"/>
      <c r="AA10" s="162">
        <f t="shared" si="0"/>
        <v>79097</v>
      </c>
      <c r="AB10" s="162"/>
      <c r="AC10" s="162"/>
      <c r="AD10" s="71" t="s">
        <v>1502</v>
      </c>
      <c r="AE10" s="77">
        <v>131315497</v>
      </c>
    </row>
    <row r="11" spans="1:31">
      <c r="A11" s="71" t="s">
        <v>36</v>
      </c>
      <c r="B11" s="72" t="s">
        <v>1755</v>
      </c>
      <c r="C11" s="68" t="s">
        <v>9</v>
      </c>
      <c r="D11" s="86" t="s">
        <v>565</v>
      </c>
      <c r="E11" s="71" t="s">
        <v>370</v>
      </c>
      <c r="F11" s="79" t="s">
        <v>371</v>
      </c>
      <c r="G11" s="1" t="s">
        <v>522</v>
      </c>
      <c r="H11" s="1" t="s">
        <v>1773</v>
      </c>
      <c r="I11" s="67">
        <v>1848</v>
      </c>
      <c r="J11" s="79">
        <v>5310177914</v>
      </c>
      <c r="K11" s="71" t="s">
        <v>570</v>
      </c>
      <c r="L11" s="71" t="s">
        <v>568</v>
      </c>
      <c r="M11" s="71" t="s">
        <v>571</v>
      </c>
      <c r="N11" s="82" t="s">
        <v>572</v>
      </c>
      <c r="O11" s="76">
        <f>VLOOKUP(N11,Humo!C:P,4,0)</f>
        <v>4161.8999999999996</v>
      </c>
      <c r="P11" s="77">
        <f>VLOOKUP(N11,Humo!C:P,6,0)</f>
        <v>1753.7</v>
      </c>
      <c r="Q11" s="77">
        <f>VLOOKUP(N11,Humo!C:P,8,0)</f>
        <v>9448.4</v>
      </c>
      <c r="R11" s="77">
        <f>VLOOKUP(N11,Humo!C:P,10,0)</f>
        <v>5956.7</v>
      </c>
      <c r="S11" s="77">
        <f>VLOOKUP(N11,Humo!C:P,12,0)</f>
        <v>7364.9</v>
      </c>
      <c r="T11" s="77">
        <f>VLOOKUP(N11,Humo!C:P,14,0)</f>
        <v>7388.8</v>
      </c>
      <c r="U11" s="77">
        <f>IFERROR(VLOOKUP(N11,'2026 iyul humo'!A:D,4,0),"0")/1000</f>
        <v>4481.05</v>
      </c>
      <c r="V11" s="77"/>
      <c r="W11" s="77"/>
      <c r="X11" s="77"/>
      <c r="Y11" s="77"/>
      <c r="Z11" s="77"/>
      <c r="AA11" s="162">
        <f t="shared" si="0"/>
        <v>40555.450000000004</v>
      </c>
      <c r="AB11" s="162"/>
      <c r="AC11" s="162"/>
      <c r="AD11" s="71" t="s">
        <v>1505</v>
      </c>
      <c r="AE11" s="77">
        <v>62805331</v>
      </c>
    </row>
    <row r="12" spans="1:31">
      <c r="A12" s="71" t="s">
        <v>37</v>
      </c>
      <c r="B12" s="72" t="s">
        <v>1755</v>
      </c>
      <c r="C12" s="68" t="s">
        <v>9</v>
      </c>
      <c r="D12" s="86" t="s">
        <v>573</v>
      </c>
      <c r="E12" s="71" t="s">
        <v>364</v>
      </c>
      <c r="F12" s="74" t="s">
        <v>475</v>
      </c>
      <c r="G12" s="1" t="s">
        <v>522</v>
      </c>
      <c r="H12" s="1" t="s">
        <v>1780</v>
      </c>
      <c r="I12" s="67">
        <v>1128.7</v>
      </c>
      <c r="J12" s="71" t="s">
        <v>574</v>
      </c>
      <c r="K12" s="71" t="s">
        <v>575</v>
      </c>
      <c r="L12" s="71" t="s">
        <v>576</v>
      </c>
      <c r="M12" s="71">
        <v>901120491</v>
      </c>
      <c r="N12" s="75">
        <v>22691</v>
      </c>
      <c r="O12" s="76">
        <f>VLOOKUP(N12,Uzcard!C:P,4,0)</f>
        <v>11883.95</v>
      </c>
      <c r="P12" s="76">
        <f>VLOOKUP(N12,Uzcard!C:P,6,0)</f>
        <v>5415.95</v>
      </c>
      <c r="Q12" s="76">
        <f>VLOOKUP(N12,Uzcard!C:P,8,0)</f>
        <v>5479.65</v>
      </c>
      <c r="R12" s="76">
        <f>VLOOKUP(N12,Uzcard!C:P,10,0)</f>
        <v>9428</v>
      </c>
      <c r="S12" s="76">
        <f>VLOOKUP(N12,Uzcard!C:P,12,0)</f>
        <v>16711.8</v>
      </c>
      <c r="T12" s="76">
        <f>VLOOKUP(N12,Uzcard!C:P,14,0)</f>
        <v>13744.4</v>
      </c>
      <c r="U12" s="172">
        <f>IFERROR(VLOOKUP(N12,'2026 iyul uzcard'!A:D,3,0),"0")/1000</f>
        <v>4932.3</v>
      </c>
      <c r="V12" s="172"/>
      <c r="W12" s="172"/>
      <c r="X12" s="172"/>
      <c r="Y12" s="172"/>
      <c r="Z12" s="172"/>
      <c r="AA12" s="162">
        <f t="shared" si="0"/>
        <v>67596.05</v>
      </c>
      <c r="AB12" s="162"/>
      <c r="AC12" s="162"/>
      <c r="AD12" s="71" t="s">
        <v>1502</v>
      </c>
      <c r="AE12" s="77">
        <v>131315497</v>
      </c>
    </row>
    <row r="13" spans="1:31">
      <c r="A13" s="71" t="s">
        <v>38</v>
      </c>
      <c r="B13" s="72" t="s">
        <v>1755</v>
      </c>
      <c r="C13" s="68" t="s">
        <v>9</v>
      </c>
      <c r="D13" s="86" t="s">
        <v>573</v>
      </c>
      <c r="E13" s="71" t="s">
        <v>370</v>
      </c>
      <c r="F13" s="79" t="s">
        <v>371</v>
      </c>
      <c r="G13" s="1" t="s">
        <v>522</v>
      </c>
      <c r="H13" s="1" t="s">
        <v>1773</v>
      </c>
      <c r="I13" s="67">
        <v>1848</v>
      </c>
      <c r="J13" s="79">
        <v>5310178092</v>
      </c>
      <c r="K13" s="71" t="s">
        <v>577</v>
      </c>
      <c r="L13" s="71" t="s">
        <v>576</v>
      </c>
      <c r="M13" s="71" t="s">
        <v>578</v>
      </c>
      <c r="N13" s="82" t="s">
        <v>579</v>
      </c>
      <c r="O13" s="76">
        <f>VLOOKUP(N13,Humo!C:P,4,0)</f>
        <v>3257.8</v>
      </c>
      <c r="P13" s="77">
        <f>VLOOKUP(N13,Humo!C:P,6,0)</f>
        <v>4775.3999999999996</v>
      </c>
      <c r="Q13" s="77">
        <f>VLOOKUP(N13,Humo!C:P,8,0)</f>
        <v>8800.5</v>
      </c>
      <c r="R13" s="77">
        <f>VLOOKUP(N13,Humo!C:P,10,0)</f>
        <v>0</v>
      </c>
      <c r="S13" s="77">
        <f>VLOOKUP(N13,Humo!C:P,12,0)</f>
        <v>0</v>
      </c>
      <c r="T13" s="77">
        <f>VLOOKUP(N13,Humo!C:P,14,0)</f>
        <v>3905.6</v>
      </c>
      <c r="U13" s="77">
        <f>IFERROR(VLOOKUP(N13,'2026 iyul humo'!A:D,4,0),"0")/1000</f>
        <v>4229.1499999999996</v>
      </c>
      <c r="V13" s="77"/>
      <c r="W13" s="77"/>
      <c r="X13" s="77"/>
      <c r="Y13" s="77"/>
      <c r="Z13" s="77"/>
      <c r="AA13" s="162">
        <f t="shared" si="0"/>
        <v>24968.449999999997</v>
      </c>
      <c r="AB13" s="162"/>
      <c r="AC13" s="162"/>
      <c r="AD13" s="71" t="s">
        <v>1506</v>
      </c>
      <c r="AE13" s="77">
        <v>62805331</v>
      </c>
    </row>
    <row r="14" spans="1:31">
      <c r="A14" s="71" t="s">
        <v>39</v>
      </c>
      <c r="B14" s="72" t="s">
        <v>1755</v>
      </c>
      <c r="C14" s="68" t="s">
        <v>9</v>
      </c>
      <c r="D14" s="86" t="s">
        <v>580</v>
      </c>
      <c r="E14" s="71" t="s">
        <v>364</v>
      </c>
      <c r="F14" s="74" t="s">
        <v>475</v>
      </c>
      <c r="G14" s="1" t="s">
        <v>522</v>
      </c>
      <c r="H14" s="1" t="s">
        <v>1780</v>
      </c>
      <c r="I14" s="67">
        <v>1128.7</v>
      </c>
      <c r="J14" s="90" t="s">
        <v>1788</v>
      </c>
      <c r="K14" s="71" t="s">
        <v>543</v>
      </c>
      <c r="L14" s="71" t="s">
        <v>581</v>
      </c>
      <c r="M14" s="71" t="s">
        <v>582</v>
      </c>
      <c r="N14" s="75">
        <v>25781</v>
      </c>
      <c r="O14" s="76">
        <f>VLOOKUP(N14,Uzcard!C:P,4,0)</f>
        <v>598.20000000000005</v>
      </c>
      <c r="P14" s="76">
        <f>VLOOKUP(N14,Uzcard!C:P,6,0)</f>
        <v>1606.45</v>
      </c>
      <c r="Q14" s="76">
        <f>VLOOKUP(N14,Uzcard!C:P,8,0)</f>
        <v>5281.85</v>
      </c>
      <c r="R14" s="76">
        <f>VLOOKUP(N14,Uzcard!C:P,10,0)</f>
        <v>9270.85</v>
      </c>
      <c r="S14" s="76">
        <f>VLOOKUP(N14,Uzcard!C:P,12,0)</f>
        <v>9646.0499999999993</v>
      </c>
      <c r="T14" s="76">
        <f>VLOOKUP(N14,Uzcard!C:P,14,0)</f>
        <v>4789.3500000000004</v>
      </c>
      <c r="U14" s="172">
        <f>IFERROR(VLOOKUP(N14,'2026 iyul uzcard'!A:D,3,0),"0")/1000</f>
        <v>3606.75</v>
      </c>
      <c r="V14" s="172"/>
      <c r="W14" s="172"/>
      <c r="X14" s="172"/>
      <c r="Y14" s="172"/>
      <c r="Z14" s="172"/>
      <c r="AA14" s="162">
        <f t="shared" si="0"/>
        <v>34799.5</v>
      </c>
      <c r="AB14" s="162"/>
      <c r="AC14" s="162"/>
      <c r="AD14" s="71" t="s">
        <v>1500</v>
      </c>
      <c r="AE14" s="77">
        <v>144808312</v>
      </c>
    </row>
    <row r="15" spans="1:31">
      <c r="A15" s="71" t="s">
        <v>40</v>
      </c>
      <c r="B15" s="72" t="s">
        <v>1755</v>
      </c>
      <c r="C15" s="68" t="s">
        <v>9</v>
      </c>
      <c r="D15" s="91" t="s">
        <v>1010</v>
      </c>
      <c r="E15" s="71" t="s">
        <v>364</v>
      </c>
      <c r="F15" s="74" t="s">
        <v>474</v>
      </c>
      <c r="G15" s="1" t="s">
        <v>522</v>
      </c>
      <c r="H15" s="1"/>
      <c r="I15" s="1"/>
      <c r="J15" s="71" t="s">
        <v>590</v>
      </c>
      <c r="K15" s="71" t="s">
        <v>591</v>
      </c>
      <c r="L15" s="71" t="s">
        <v>592</v>
      </c>
      <c r="M15" s="71" t="s">
        <v>593</v>
      </c>
      <c r="N15" s="75">
        <v>18327</v>
      </c>
      <c r="O15" s="76">
        <f>VLOOKUP(N15,Uzcard!C:P,4,0)</f>
        <v>7029.55</v>
      </c>
      <c r="P15" s="76">
        <f>VLOOKUP(N15,Uzcard!C:P,6,0)</f>
        <v>4062.75</v>
      </c>
      <c r="Q15" s="76">
        <f>VLOOKUP(N15,Uzcard!C:P,8,0)</f>
        <v>8155.2</v>
      </c>
      <c r="R15" s="76">
        <f>VLOOKUP(N15,Uzcard!C:P,10,0)</f>
        <v>4131.2</v>
      </c>
      <c r="S15" s="76">
        <f>VLOOKUP(N15,Uzcard!C:P,12,0)</f>
        <v>11999.6</v>
      </c>
      <c r="T15" s="76">
        <f>VLOOKUP(N15,Uzcard!C:P,14,0)</f>
        <v>11420.05</v>
      </c>
      <c r="U15" s="172">
        <f>IFERROR(VLOOKUP(N15,'2026 iyul uzcard'!A:D,3,0),"0")/1000</f>
        <v>9304.2999999999993</v>
      </c>
      <c r="V15" s="172"/>
      <c r="W15" s="172"/>
      <c r="X15" s="172"/>
      <c r="Y15" s="172"/>
      <c r="Z15" s="172"/>
      <c r="AA15" s="162">
        <f t="shared" si="0"/>
        <v>56102.650000000009</v>
      </c>
      <c r="AB15" s="162"/>
      <c r="AC15" s="162"/>
      <c r="AD15" s="71" t="s">
        <v>1499</v>
      </c>
      <c r="AE15" s="77">
        <v>100458192.72</v>
      </c>
    </row>
    <row r="16" spans="1:31">
      <c r="A16" s="71" t="s">
        <v>41</v>
      </c>
      <c r="B16" s="72" t="s">
        <v>1755</v>
      </c>
      <c r="C16" s="68" t="s">
        <v>9</v>
      </c>
      <c r="D16" s="91" t="s">
        <v>1010</v>
      </c>
      <c r="E16" s="79" t="s">
        <v>370</v>
      </c>
      <c r="F16" s="84" t="s">
        <v>475</v>
      </c>
      <c r="G16" s="1" t="s">
        <v>522</v>
      </c>
      <c r="H16" s="1" t="s">
        <v>1773</v>
      </c>
      <c r="I16" s="67">
        <v>1848</v>
      </c>
      <c r="J16" s="79" t="s">
        <v>585</v>
      </c>
      <c r="K16" s="79" t="s">
        <v>586</v>
      </c>
      <c r="L16" s="79" t="s">
        <v>587</v>
      </c>
      <c r="M16" s="79" t="s">
        <v>588</v>
      </c>
      <c r="N16" s="87" t="s">
        <v>589</v>
      </c>
      <c r="O16" s="76">
        <f>VLOOKUP(N16,Humo!C:P,4,0)</f>
        <v>1923.7</v>
      </c>
      <c r="P16" s="77">
        <f>VLOOKUP(N16,Humo!C:P,6,0)</f>
        <v>2416.6</v>
      </c>
      <c r="Q16" s="77">
        <f>VLOOKUP(N16,Humo!C:P,8,0)</f>
        <v>3752.7</v>
      </c>
      <c r="R16" s="77">
        <f>VLOOKUP(N16,Humo!C:P,10,0)</f>
        <v>3321.7</v>
      </c>
      <c r="S16" s="77">
        <f>VLOOKUP(N16,Humo!C:P,12,0)</f>
        <v>3826</v>
      </c>
      <c r="T16" s="77">
        <f>VLOOKUP(N16,Humo!C:P,14,0)</f>
        <v>0</v>
      </c>
      <c r="U16" s="77">
        <f>IFERROR(VLOOKUP(N16,'2026 iyul humo'!A:D,4,0),"0")/1000</f>
        <v>0</v>
      </c>
      <c r="V16" s="77"/>
      <c r="W16" s="77"/>
      <c r="X16" s="77"/>
      <c r="Y16" s="77"/>
      <c r="Z16" s="77"/>
      <c r="AA16" s="162">
        <f t="shared" ref="AA16" si="1">+SUM(O16:Z16)</f>
        <v>15240.7</v>
      </c>
      <c r="AB16" s="162"/>
      <c r="AC16" s="162"/>
      <c r="AD16" s="79" t="s">
        <v>1500</v>
      </c>
      <c r="AE16" s="88">
        <v>105827950</v>
      </c>
    </row>
    <row r="17" spans="1:31">
      <c r="A17" s="71" t="s">
        <v>42</v>
      </c>
      <c r="B17" s="72" t="s">
        <v>1755</v>
      </c>
      <c r="C17" s="68" t="s">
        <v>9</v>
      </c>
      <c r="D17" s="91" t="s">
        <v>1011</v>
      </c>
      <c r="E17" s="71" t="s">
        <v>370</v>
      </c>
      <c r="F17" s="79" t="s">
        <v>371</v>
      </c>
      <c r="G17" s="1" t="s">
        <v>522</v>
      </c>
      <c r="H17" s="1" t="s">
        <v>1773</v>
      </c>
      <c r="I17" s="67">
        <v>1848</v>
      </c>
      <c r="J17" s="79">
        <v>5310177340</v>
      </c>
      <c r="K17" s="71" t="s">
        <v>594</v>
      </c>
      <c r="L17" s="71" t="s">
        <v>595</v>
      </c>
      <c r="M17" s="71" t="s">
        <v>596</v>
      </c>
      <c r="N17" s="82" t="s">
        <v>597</v>
      </c>
      <c r="O17" s="76">
        <f>VLOOKUP(N17,Humo!C:P,4,0)</f>
        <v>3087.4</v>
      </c>
      <c r="P17" s="77">
        <f>VLOOKUP(N17,Humo!C:P,6,0)</f>
        <v>2820.6</v>
      </c>
      <c r="Q17" s="77">
        <f>VLOOKUP(N17,Humo!C:P,8,0)</f>
        <v>3433.4</v>
      </c>
      <c r="R17" s="77">
        <f>VLOOKUP(N17,Humo!C:P,10,0)</f>
        <v>2753.9</v>
      </c>
      <c r="S17" s="77">
        <f>VLOOKUP(N17,Humo!C:P,12,0)</f>
        <v>3378.3</v>
      </c>
      <c r="T17" s="77">
        <f>VLOOKUP(N17,Humo!C:P,14,0)</f>
        <v>2326.8000000000002</v>
      </c>
      <c r="U17" s="77">
        <f>IFERROR(VLOOKUP(N17,'2026 iyul humo'!A:D,4,0),"0")/1000</f>
        <v>3302.1</v>
      </c>
      <c r="V17" s="77"/>
      <c r="W17" s="77"/>
      <c r="X17" s="77"/>
      <c r="Y17" s="77"/>
      <c r="Z17" s="77"/>
      <c r="AA17" s="162">
        <f t="shared" si="0"/>
        <v>21102.499999999996</v>
      </c>
      <c r="AB17" s="162"/>
      <c r="AC17" s="162"/>
      <c r="AD17" s="71" t="s">
        <v>1507</v>
      </c>
      <c r="AE17" s="77">
        <v>62805331</v>
      </c>
    </row>
    <row r="18" spans="1:31">
      <c r="A18" s="71" t="s">
        <v>43</v>
      </c>
      <c r="B18" s="72" t="s">
        <v>1755</v>
      </c>
      <c r="C18" s="68" t="s">
        <v>9</v>
      </c>
      <c r="D18" s="86" t="s">
        <v>24</v>
      </c>
      <c r="E18" s="71" t="s">
        <v>364</v>
      </c>
      <c r="F18" s="74" t="s">
        <v>474</v>
      </c>
      <c r="G18" s="1" t="s">
        <v>488</v>
      </c>
      <c r="H18" s="1"/>
      <c r="I18" s="1"/>
      <c r="J18" s="79" t="s">
        <v>590</v>
      </c>
      <c r="K18" s="71" t="s">
        <v>598</v>
      </c>
      <c r="L18" s="71" t="s">
        <v>538</v>
      </c>
      <c r="M18" s="71" t="s">
        <v>599</v>
      </c>
      <c r="N18" s="75">
        <v>18114</v>
      </c>
      <c r="O18" s="76">
        <f>VLOOKUP(N18,Uzcard!C:P,4,0)</f>
        <v>0</v>
      </c>
      <c r="P18" s="76">
        <f>VLOOKUP(N18,Uzcard!C:P,6,0)</f>
        <v>0</v>
      </c>
      <c r="Q18" s="76">
        <f>VLOOKUP(N18,Uzcard!C:P,8,0)</f>
        <v>0</v>
      </c>
      <c r="R18" s="76">
        <f>VLOOKUP(N18,Uzcard!C:P,10,0)</f>
        <v>0</v>
      </c>
      <c r="S18" s="76">
        <f>VLOOKUP(N18,Uzcard!C:P,12,0)</f>
        <v>0</v>
      </c>
      <c r="T18" s="76">
        <f>VLOOKUP(N18,Uzcard!C:P,14,0)</f>
        <v>0</v>
      </c>
      <c r="U18" s="172">
        <f>IFERROR(VLOOKUP(N18,'2026 iyul uzcard'!A:D,3,0),"0")/1000</f>
        <v>0</v>
      </c>
      <c r="V18" s="172"/>
      <c r="W18" s="172"/>
      <c r="X18" s="172"/>
      <c r="Y18" s="172"/>
      <c r="Z18" s="172"/>
      <c r="AA18" s="162">
        <f t="shared" si="0"/>
        <v>0</v>
      </c>
      <c r="AB18" s="162"/>
      <c r="AC18" s="162"/>
      <c r="AD18" s="71" t="s">
        <v>1499</v>
      </c>
      <c r="AE18" s="77">
        <v>100458192.72</v>
      </c>
    </row>
    <row r="19" spans="1:31">
      <c r="A19" s="71" t="s">
        <v>44</v>
      </c>
      <c r="B19" s="72" t="s">
        <v>1755</v>
      </c>
      <c r="C19" s="68" t="s">
        <v>9</v>
      </c>
      <c r="D19" s="86" t="s">
        <v>24</v>
      </c>
      <c r="E19" s="71" t="s">
        <v>370</v>
      </c>
      <c r="F19" s="79" t="s">
        <v>371</v>
      </c>
      <c r="G19" s="1" t="s">
        <v>522</v>
      </c>
      <c r="H19" s="1" t="s">
        <v>1773</v>
      </c>
      <c r="I19" s="67">
        <v>1848</v>
      </c>
      <c r="J19" s="180" t="s">
        <v>1489</v>
      </c>
      <c r="K19" s="180" t="s">
        <v>1509</v>
      </c>
      <c r="L19" s="71" t="s">
        <v>538</v>
      </c>
      <c r="M19" s="92" t="s">
        <v>1491</v>
      </c>
      <c r="N19" s="82" t="s">
        <v>1490</v>
      </c>
      <c r="O19" s="76">
        <f>VLOOKUP(N19,Humo!C:P,4,0)</f>
        <v>0</v>
      </c>
      <c r="P19" s="77">
        <f>VLOOKUP(N19,Humo!C:P,6,0)</f>
        <v>0</v>
      </c>
      <c r="Q19" s="77">
        <f>VLOOKUP(N19,Humo!C:P,8,0)</f>
        <v>0</v>
      </c>
      <c r="R19" s="77">
        <f>VLOOKUP(N19,Humo!C:P,10,0)</f>
        <v>0</v>
      </c>
      <c r="S19" s="77">
        <f>VLOOKUP(N19,Humo!C:P,12,0)</f>
        <v>0</v>
      </c>
      <c r="T19" s="77">
        <f>VLOOKUP(N19,Humo!C:P,14,0)</f>
        <v>0</v>
      </c>
      <c r="U19" s="77">
        <f>IFERROR(VLOOKUP(N19,'2026 iyul humo'!A:D,4,0),"0")/1000</f>
        <v>0</v>
      </c>
      <c r="V19" s="77"/>
      <c r="W19" s="77"/>
      <c r="X19" s="77"/>
      <c r="Y19" s="77"/>
      <c r="Z19" s="77"/>
      <c r="AA19" s="162">
        <f t="shared" si="0"/>
        <v>0</v>
      </c>
      <c r="AB19" s="162"/>
      <c r="AC19" s="162"/>
      <c r="AD19" s="71" t="s">
        <v>1504</v>
      </c>
      <c r="AE19" s="77">
        <v>62805331</v>
      </c>
    </row>
    <row r="20" spans="1:31">
      <c r="A20" s="71" t="s">
        <v>45</v>
      </c>
      <c r="B20" s="72" t="s">
        <v>1755</v>
      </c>
      <c r="C20" s="68" t="s">
        <v>9</v>
      </c>
      <c r="D20" s="86" t="s">
        <v>24</v>
      </c>
      <c r="E20" s="71" t="s">
        <v>370</v>
      </c>
      <c r="F20" s="79" t="s">
        <v>371</v>
      </c>
      <c r="G20" s="1" t="s">
        <v>488</v>
      </c>
      <c r="H20" s="1"/>
      <c r="I20" s="1"/>
      <c r="J20" s="79" t="s">
        <v>600</v>
      </c>
      <c r="K20" s="71" t="s">
        <v>601</v>
      </c>
      <c r="L20" s="71" t="s">
        <v>538</v>
      </c>
      <c r="M20" s="71" t="s">
        <v>602</v>
      </c>
      <c r="N20" s="82" t="s">
        <v>603</v>
      </c>
      <c r="O20" s="76">
        <f>VLOOKUP(N20,Humo!C:P,4,0)</f>
        <v>0</v>
      </c>
      <c r="P20" s="77">
        <f>VLOOKUP(N20,Humo!C:P,6,0)</f>
        <v>0</v>
      </c>
      <c r="Q20" s="77">
        <f>VLOOKUP(N20,Humo!C:P,8,0)</f>
        <v>0</v>
      </c>
      <c r="R20" s="77">
        <f>VLOOKUP(N20,Humo!C:P,10,0)</f>
        <v>0</v>
      </c>
      <c r="S20" s="77">
        <f>VLOOKUP(N20,Humo!C:P,12,0)</f>
        <v>0</v>
      </c>
      <c r="T20" s="77">
        <f>VLOOKUP(N20,Humo!C:P,14,0)</f>
        <v>0</v>
      </c>
      <c r="U20" s="77">
        <f>IFERROR(VLOOKUP(N20,'2026 iyul humo'!A:D,4,0),"0")/1000</f>
        <v>0</v>
      </c>
      <c r="V20" s="77"/>
      <c r="W20" s="77"/>
      <c r="X20" s="77"/>
      <c r="Y20" s="77"/>
      <c r="Z20" s="77"/>
      <c r="AA20" s="162">
        <f t="shared" si="0"/>
        <v>0</v>
      </c>
      <c r="AB20" s="162"/>
      <c r="AC20" s="162"/>
      <c r="AD20" s="71" t="s">
        <v>1504</v>
      </c>
      <c r="AE20" s="77">
        <v>62805331</v>
      </c>
    </row>
    <row r="21" spans="1:31">
      <c r="A21" s="71" t="s">
        <v>46</v>
      </c>
      <c r="B21" s="72" t="s">
        <v>1755</v>
      </c>
      <c r="C21" s="68" t="s">
        <v>9</v>
      </c>
      <c r="D21" s="86" t="s">
        <v>24</v>
      </c>
      <c r="E21" s="71" t="s">
        <v>381</v>
      </c>
      <c r="F21" s="93" t="s">
        <v>382</v>
      </c>
      <c r="G21" s="94" t="s">
        <v>491</v>
      </c>
      <c r="H21" s="94"/>
      <c r="I21" s="94"/>
      <c r="J21" s="84" t="s">
        <v>1448</v>
      </c>
      <c r="K21" s="71" t="s">
        <v>583</v>
      </c>
      <c r="L21" s="71" t="s">
        <v>581</v>
      </c>
      <c r="M21" s="71" t="s">
        <v>584</v>
      </c>
      <c r="N21" s="82" t="s">
        <v>584</v>
      </c>
      <c r="O21" s="76">
        <f>IFERROR(VLOOKUP(N21,'2026 yanvar vash'!A:D,4,0),"0")/1000</f>
        <v>0</v>
      </c>
      <c r="P21" s="173">
        <f>IFERROR(VLOOKUP(N21,'2026 fevral vash'!A:D,4,0),"0")/1000</f>
        <v>0</v>
      </c>
      <c r="Q21" s="173">
        <f>IFERROR(VLOOKUP(N21,'2026 mart vash'!A:D,4,0),"0")/1000</f>
        <v>0</v>
      </c>
      <c r="R21" s="173">
        <f>IFERROR(VLOOKUP(N21,'2026 aprel vash'!A:D,4,0),"0")/1000</f>
        <v>0</v>
      </c>
      <c r="S21" s="173">
        <f>IFERROR(VLOOKUP(N21,'2026 may vash'!A:D,4,0),"0")/1000</f>
        <v>0</v>
      </c>
      <c r="T21" s="173">
        <f>IFERROR(VLOOKUP(N21,'2026 iyun vash'!A:D,4,0),"0")/1000</f>
        <v>0</v>
      </c>
      <c r="U21" s="173">
        <f>IFERROR(VLOOKUP(N21,'2026 iyul vash'!A:D,4,0),"0")/1000</f>
        <v>0</v>
      </c>
      <c r="V21" s="173"/>
      <c r="W21" s="173"/>
      <c r="X21" s="173"/>
      <c r="Y21" s="173"/>
      <c r="Z21" s="173"/>
      <c r="AA21" s="162">
        <f t="shared" si="0"/>
        <v>0</v>
      </c>
      <c r="AB21" s="162"/>
      <c r="AC21" s="162"/>
      <c r="AD21" s="71" t="s">
        <v>1508</v>
      </c>
      <c r="AE21" s="77">
        <v>171904842.81999999</v>
      </c>
    </row>
    <row r="22" spans="1:31">
      <c r="A22" s="71" t="s">
        <v>47</v>
      </c>
      <c r="B22" s="72" t="s">
        <v>1755</v>
      </c>
      <c r="C22" s="68" t="s">
        <v>9</v>
      </c>
      <c r="D22" s="86" t="s">
        <v>24</v>
      </c>
      <c r="E22" s="71" t="s">
        <v>381</v>
      </c>
      <c r="F22" s="93" t="s">
        <v>382</v>
      </c>
      <c r="G22" s="94" t="s">
        <v>491</v>
      </c>
      <c r="H22" s="94"/>
      <c r="I22" s="94"/>
      <c r="J22" s="84" t="s">
        <v>1447</v>
      </c>
      <c r="K22" s="71" t="s">
        <v>546</v>
      </c>
      <c r="L22" s="71" t="s">
        <v>538</v>
      </c>
      <c r="M22" s="71" t="s">
        <v>547</v>
      </c>
      <c r="N22" s="82" t="s">
        <v>547</v>
      </c>
      <c r="O22" s="76">
        <f>IFERROR(VLOOKUP(N22,'2026 yanvar vash'!A:D,4,0),"0")/1000</f>
        <v>214.1</v>
      </c>
      <c r="P22" s="173">
        <f>IFERROR(VLOOKUP(N22,'2026 fevral vash'!A:D,4,0),"0")/1000</f>
        <v>221.43</v>
      </c>
      <c r="Q22" s="173">
        <f>IFERROR(VLOOKUP(N22,'2026 mart vash'!A:D,4,0),"0")/1000</f>
        <v>396.71</v>
      </c>
      <c r="R22" s="173">
        <f>IFERROR(VLOOKUP(N22,'2026 aprel vash'!A:D,4,0),"0")/1000</f>
        <v>129.4</v>
      </c>
      <c r="S22" s="173">
        <f>IFERROR(VLOOKUP(N22,'2026 may vash'!A:D,4,0),"0")/1000</f>
        <v>0</v>
      </c>
      <c r="T22" s="173">
        <f>IFERROR(VLOOKUP(N22,'2026 iyun vash'!A:D,4,0),"0")/1000</f>
        <v>0</v>
      </c>
      <c r="U22" s="173">
        <f>IFERROR(VLOOKUP(N22,'2026 iyul vash'!A:D,4,0),"0")/1000</f>
        <v>0</v>
      </c>
      <c r="V22" s="173"/>
      <c r="W22" s="173"/>
      <c r="X22" s="173"/>
      <c r="Y22" s="173"/>
      <c r="Z22" s="173"/>
      <c r="AA22" s="162">
        <f t="shared" si="0"/>
        <v>961.64</v>
      </c>
      <c r="AB22" s="162"/>
      <c r="AC22" s="162"/>
      <c r="AD22" s="71" t="s">
        <v>1508</v>
      </c>
      <c r="AE22" s="77">
        <v>171904842.81999999</v>
      </c>
    </row>
    <row r="23" spans="1:31">
      <c r="A23" s="71" t="s">
        <v>48</v>
      </c>
      <c r="B23" s="72" t="s">
        <v>1756</v>
      </c>
      <c r="C23" s="68" t="s">
        <v>10</v>
      </c>
      <c r="D23" s="83" t="s">
        <v>1243</v>
      </c>
      <c r="E23" s="71" t="s">
        <v>364</v>
      </c>
      <c r="F23" s="95" t="s">
        <v>475</v>
      </c>
      <c r="G23" s="96" t="s">
        <v>522</v>
      </c>
      <c r="H23" s="90" t="s">
        <v>1780</v>
      </c>
      <c r="I23" s="67">
        <v>1128.7</v>
      </c>
      <c r="J23" s="79" t="s">
        <v>1348</v>
      </c>
      <c r="K23" s="97" t="s">
        <v>1378</v>
      </c>
      <c r="L23" s="71" t="s">
        <v>1347</v>
      </c>
      <c r="M23" s="71">
        <v>901120268</v>
      </c>
      <c r="N23" s="75">
        <v>21147</v>
      </c>
      <c r="O23" s="76">
        <f>VLOOKUP(N23,Uzcard!C:P,4,0)</f>
        <v>8328.15</v>
      </c>
      <c r="P23" s="76">
        <f>VLOOKUP(N23,Uzcard!C:P,6,0)</f>
        <v>9282.4</v>
      </c>
      <c r="Q23" s="76">
        <f>VLOOKUP(N23,Uzcard!C:P,8,0)</f>
        <v>12993.5</v>
      </c>
      <c r="R23" s="76">
        <f>VLOOKUP(N23,Uzcard!C:P,10,0)</f>
        <v>8168.7</v>
      </c>
      <c r="S23" s="76">
        <f>VLOOKUP(N23,Uzcard!C:P,12,0)</f>
        <v>13880.2</v>
      </c>
      <c r="T23" s="76">
        <f>VLOOKUP(N23,Uzcard!C:P,14,0)</f>
        <v>13885.55</v>
      </c>
      <c r="U23" s="172">
        <f>IFERROR(VLOOKUP(N23,'2026 iyul uzcard'!A:D,3,0),"0")/1000</f>
        <v>7930.65</v>
      </c>
      <c r="V23" s="172"/>
      <c r="W23" s="172"/>
      <c r="X23" s="172"/>
      <c r="Y23" s="172"/>
      <c r="Z23" s="172"/>
      <c r="AA23" s="162">
        <f t="shared" si="0"/>
        <v>74469.149999999994</v>
      </c>
      <c r="AB23" s="162"/>
      <c r="AC23" s="162"/>
      <c r="AD23" s="71" t="s">
        <v>1517</v>
      </c>
      <c r="AE23" s="77">
        <v>105827950</v>
      </c>
    </row>
    <row r="24" spans="1:31">
      <c r="A24" s="71" t="s">
        <v>49</v>
      </c>
      <c r="B24" s="72" t="s">
        <v>1756</v>
      </c>
      <c r="C24" s="68" t="s">
        <v>10</v>
      </c>
      <c r="D24" s="83" t="s">
        <v>1243</v>
      </c>
      <c r="E24" s="71" t="s">
        <v>370</v>
      </c>
      <c r="F24" s="79" t="s">
        <v>371</v>
      </c>
      <c r="G24" s="96" t="s">
        <v>522</v>
      </c>
      <c r="H24" s="98" t="s">
        <v>1773</v>
      </c>
      <c r="I24" s="67">
        <v>1848</v>
      </c>
      <c r="J24" s="79" t="s">
        <v>1349</v>
      </c>
      <c r="K24" s="97" t="s">
        <v>1519</v>
      </c>
      <c r="L24" s="71" t="s">
        <v>1347</v>
      </c>
      <c r="M24" s="71" t="s">
        <v>1350</v>
      </c>
      <c r="N24" s="82" t="s">
        <v>1351</v>
      </c>
      <c r="O24" s="76">
        <f>VLOOKUP(N24,Humo!C:P,4,0)</f>
        <v>7537.35</v>
      </c>
      <c r="P24" s="77">
        <f>VLOOKUP(N24,Humo!C:P,6,0)</f>
        <v>4656.95</v>
      </c>
      <c r="Q24" s="77">
        <f>VLOOKUP(N24,Humo!C:P,8,0)</f>
        <v>11734.75</v>
      </c>
      <c r="R24" s="77">
        <f>VLOOKUP(N24,Humo!C:P,10,0)</f>
        <v>7659.5</v>
      </c>
      <c r="S24" s="77">
        <f>VLOOKUP(N24,Humo!C:P,12,0)</f>
        <v>5598.8</v>
      </c>
      <c r="T24" s="77">
        <f>VLOOKUP(N24,Humo!C:P,14,0)</f>
        <v>9881.7999999999993</v>
      </c>
      <c r="U24" s="77">
        <f>IFERROR(VLOOKUP(N24,'2026 iyul humo'!A:D,4,0),"0")/1000</f>
        <v>4313.8500000000004</v>
      </c>
      <c r="V24" s="77"/>
      <c r="W24" s="77"/>
      <c r="X24" s="77"/>
      <c r="Y24" s="77"/>
      <c r="Z24" s="77"/>
      <c r="AA24" s="162">
        <f t="shared" si="0"/>
        <v>51382.999999999993</v>
      </c>
      <c r="AB24" s="162"/>
      <c r="AC24" s="162"/>
      <c r="AD24" s="71" t="s">
        <v>1520</v>
      </c>
      <c r="AE24" s="77">
        <v>62805331</v>
      </c>
    </row>
    <row r="25" spans="1:31">
      <c r="A25" s="71" t="s">
        <v>50</v>
      </c>
      <c r="B25" s="72" t="s">
        <v>1756</v>
      </c>
      <c r="C25" s="68" t="s">
        <v>10</v>
      </c>
      <c r="D25" s="83" t="s">
        <v>1243</v>
      </c>
      <c r="E25" s="71" t="s">
        <v>370</v>
      </c>
      <c r="F25" s="79" t="s">
        <v>376</v>
      </c>
      <c r="G25" s="96" t="s">
        <v>522</v>
      </c>
      <c r="H25" s="98" t="s">
        <v>1773</v>
      </c>
      <c r="I25" s="67">
        <v>1848</v>
      </c>
      <c r="J25" s="84" t="s">
        <v>1380</v>
      </c>
      <c r="K25" s="97" t="s">
        <v>1381</v>
      </c>
      <c r="L25" s="71" t="s">
        <v>1347</v>
      </c>
      <c r="M25" s="71" t="s">
        <v>1352</v>
      </c>
      <c r="N25" s="82" t="s">
        <v>1353</v>
      </c>
      <c r="O25" s="76">
        <f>VLOOKUP(N25,Humo!C:P,4,0)</f>
        <v>2072.8000000000002</v>
      </c>
      <c r="P25" s="77">
        <f>VLOOKUP(N25,Humo!C:P,6,0)</f>
        <v>443.3</v>
      </c>
      <c r="Q25" s="77">
        <f>VLOOKUP(N25,Humo!C:P,8,0)</f>
        <v>65.3</v>
      </c>
      <c r="R25" s="77">
        <f>VLOOKUP(N25,Humo!C:P,10,0)</f>
        <v>4</v>
      </c>
      <c r="S25" s="77">
        <f>VLOOKUP(N25,Humo!C:P,12,0)</f>
        <v>2.8</v>
      </c>
      <c r="T25" s="77">
        <f>VLOOKUP(N25,Humo!C:P,14,0)</f>
        <v>1011.1</v>
      </c>
      <c r="U25" s="77">
        <f>IFERROR(VLOOKUP(N25,'2026 iyul humo'!A:D,4,0),"0")/1000</f>
        <v>2940.55</v>
      </c>
      <c r="V25" s="77"/>
      <c r="W25" s="77"/>
      <c r="X25" s="77"/>
      <c r="Y25" s="77"/>
      <c r="Z25" s="77"/>
      <c r="AA25" s="162">
        <f t="shared" si="0"/>
        <v>6539.85</v>
      </c>
      <c r="AB25" s="162"/>
      <c r="AC25" s="162"/>
      <c r="AD25" s="71" t="s">
        <v>1513</v>
      </c>
      <c r="AE25" s="77">
        <v>168243023</v>
      </c>
    </row>
    <row r="26" spans="1:31">
      <c r="A26" s="71" t="s">
        <v>51</v>
      </c>
      <c r="B26" s="72" t="s">
        <v>1756</v>
      </c>
      <c r="C26" s="68" t="s">
        <v>10</v>
      </c>
      <c r="D26" s="83" t="s">
        <v>1243</v>
      </c>
      <c r="E26" s="71" t="s">
        <v>381</v>
      </c>
      <c r="F26" s="93" t="s">
        <v>382</v>
      </c>
      <c r="G26" s="94" t="s">
        <v>491</v>
      </c>
      <c r="H26" s="94"/>
      <c r="I26" s="94"/>
      <c r="J26" s="71">
        <v>518258</v>
      </c>
      <c r="K26" s="97" t="s">
        <v>1389</v>
      </c>
      <c r="L26" s="71" t="s">
        <v>1347</v>
      </c>
      <c r="M26" s="83" t="s">
        <v>1449</v>
      </c>
      <c r="N26" s="82" t="s">
        <v>1449</v>
      </c>
      <c r="O26" s="76">
        <f>IFERROR(VLOOKUP(N26,'2026 yanvar vash'!A:D,4,0),"0")/1000</f>
        <v>77</v>
      </c>
      <c r="P26" s="173">
        <f>IFERROR(VLOOKUP(N26,'2026 fevral vash'!A:D,4,0),"0")/1000</f>
        <v>200.31</v>
      </c>
      <c r="Q26" s="173">
        <f>IFERROR(VLOOKUP(N26,'2026 mart vash'!A:D,4,0),"0")/1000</f>
        <v>53.35</v>
      </c>
      <c r="R26" s="173">
        <f>IFERROR(VLOOKUP(N26,'2026 aprel vash'!A:D,4,0),"0")/1000</f>
        <v>37.75</v>
      </c>
      <c r="S26" s="173">
        <f>IFERROR(VLOOKUP(N26,'2026 may vash'!A:D,4,0),"0")/1000</f>
        <v>44.65</v>
      </c>
      <c r="T26" s="173">
        <f>IFERROR(VLOOKUP(N26,'2026 iyun vash'!A:D,4,0),"0")/1000</f>
        <v>71.7</v>
      </c>
      <c r="U26" s="173">
        <f>IFERROR(VLOOKUP(N26,'2026 iyul vash'!A:D,4,0),"0")/1000</f>
        <v>10.199999999999999</v>
      </c>
      <c r="V26" s="173"/>
      <c r="W26" s="173"/>
      <c r="X26" s="173"/>
      <c r="Y26" s="173"/>
      <c r="Z26" s="173"/>
      <c r="AA26" s="162">
        <f t="shared" si="0"/>
        <v>494.96</v>
      </c>
      <c r="AB26" s="162"/>
      <c r="AC26" s="162"/>
      <c r="AD26" s="71" t="s">
        <v>1516</v>
      </c>
      <c r="AE26" s="77">
        <v>171904842.81999999</v>
      </c>
    </row>
    <row r="27" spans="1:31">
      <c r="A27" s="71" t="s">
        <v>52</v>
      </c>
      <c r="B27" s="72" t="s">
        <v>1756</v>
      </c>
      <c r="C27" s="68" t="s">
        <v>10</v>
      </c>
      <c r="D27" s="83" t="s">
        <v>1243</v>
      </c>
      <c r="E27" s="83" t="s">
        <v>364</v>
      </c>
      <c r="F27" s="84" t="s">
        <v>1162</v>
      </c>
      <c r="G27" s="83" t="s">
        <v>522</v>
      </c>
      <c r="H27" s="1" t="s">
        <v>1780</v>
      </c>
      <c r="I27" s="67">
        <v>1128.7</v>
      </c>
      <c r="J27" s="83" t="s">
        <v>1374</v>
      </c>
      <c r="K27" s="97" t="s">
        <v>1375</v>
      </c>
      <c r="L27" s="83" t="s">
        <v>1347</v>
      </c>
      <c r="M27" s="83" t="s">
        <v>1376</v>
      </c>
      <c r="N27" s="85">
        <v>39996</v>
      </c>
      <c r="O27" s="76">
        <f>VLOOKUP(N27,Uzcard!C:P,4,0)</f>
        <v>0</v>
      </c>
      <c r="P27" s="76">
        <f>VLOOKUP(N27,Uzcard!C:P,6,0)</f>
        <v>0</v>
      </c>
      <c r="Q27" s="76">
        <f>VLOOKUP(N27,Uzcard!C:P,8,0)</f>
        <v>0</v>
      </c>
      <c r="R27" s="76">
        <f>VLOOKUP(N27,Uzcard!C:P,10,0)</f>
        <v>0</v>
      </c>
      <c r="S27" s="76">
        <f>VLOOKUP(N27,Uzcard!C:P,12,0)</f>
        <v>0</v>
      </c>
      <c r="T27" s="76">
        <f>VLOOKUP(N27,Uzcard!C:P,14,0)</f>
        <v>98.9</v>
      </c>
      <c r="U27" s="172">
        <f>IFERROR(VLOOKUP(N27,'2026 iyul uzcard'!A:D,3,0),"0")/1000</f>
        <v>8298.7000000000007</v>
      </c>
      <c r="V27" s="172"/>
      <c r="W27" s="172"/>
      <c r="X27" s="172"/>
      <c r="Y27" s="172"/>
      <c r="Z27" s="172"/>
      <c r="AA27" s="162">
        <f t="shared" si="0"/>
        <v>8397.6</v>
      </c>
      <c r="AB27" s="162"/>
      <c r="AC27" s="162"/>
      <c r="AD27" s="71" t="s">
        <v>1501</v>
      </c>
      <c r="AE27" s="77">
        <v>362504800</v>
      </c>
    </row>
    <row r="28" spans="1:31">
      <c r="A28" s="71" t="s">
        <v>53</v>
      </c>
      <c r="B28" s="72" t="s">
        <v>1756</v>
      </c>
      <c r="C28" s="68" t="s">
        <v>10</v>
      </c>
      <c r="D28" s="96" t="s">
        <v>1342</v>
      </c>
      <c r="E28" s="71" t="s">
        <v>370</v>
      </c>
      <c r="F28" s="79" t="s">
        <v>371</v>
      </c>
      <c r="G28" s="96" t="s">
        <v>522</v>
      </c>
      <c r="H28" s="98" t="s">
        <v>1773</v>
      </c>
      <c r="I28" s="67">
        <v>1848</v>
      </c>
      <c r="J28" s="71">
        <v>5310177307</v>
      </c>
      <c r="K28" s="97" t="s">
        <v>1521</v>
      </c>
      <c r="L28" s="71" t="s">
        <v>1354</v>
      </c>
      <c r="M28" s="71" t="s">
        <v>1355</v>
      </c>
      <c r="N28" s="82" t="s">
        <v>1356</v>
      </c>
      <c r="O28" s="76">
        <f>VLOOKUP(N28,Humo!C:P,4,0)</f>
        <v>6531.9</v>
      </c>
      <c r="P28" s="77">
        <f>VLOOKUP(N28,Humo!C:P,6,0)</f>
        <v>5552.9</v>
      </c>
      <c r="Q28" s="77">
        <f>VLOOKUP(N28,Humo!C:P,8,0)</f>
        <v>4773.6000000000004</v>
      </c>
      <c r="R28" s="77">
        <f>VLOOKUP(N28,Humo!C:P,10,0)</f>
        <v>2988.8</v>
      </c>
      <c r="S28" s="77">
        <f>VLOOKUP(N28,Humo!C:P,12,0)</f>
        <v>5269.2</v>
      </c>
      <c r="T28" s="77">
        <f>VLOOKUP(N28,Humo!C:P,14,0)</f>
        <v>6496.1</v>
      </c>
      <c r="U28" s="77">
        <f>IFERROR(VLOOKUP(N28,'2026 iyul humo'!A:D,4,0),"0")/1000</f>
        <v>5795.15</v>
      </c>
      <c r="V28" s="77"/>
      <c r="W28" s="77"/>
      <c r="X28" s="77"/>
      <c r="Y28" s="77"/>
      <c r="Z28" s="77"/>
      <c r="AA28" s="162">
        <f t="shared" si="0"/>
        <v>37407.65</v>
      </c>
      <c r="AB28" s="162"/>
      <c r="AC28" s="162"/>
      <c r="AD28" s="71" t="s">
        <v>1520</v>
      </c>
      <c r="AE28" s="77">
        <v>62805331</v>
      </c>
    </row>
    <row r="29" spans="1:31">
      <c r="A29" s="71" t="s">
        <v>54</v>
      </c>
      <c r="B29" s="72" t="s">
        <v>1756</v>
      </c>
      <c r="C29" s="68" t="s">
        <v>10</v>
      </c>
      <c r="D29" s="96" t="s">
        <v>1342</v>
      </c>
      <c r="E29" s="71" t="s">
        <v>364</v>
      </c>
      <c r="F29" s="95" t="s">
        <v>475</v>
      </c>
      <c r="G29" s="96" t="s">
        <v>522</v>
      </c>
      <c r="H29" s="90" t="s">
        <v>1780</v>
      </c>
      <c r="I29" s="67">
        <v>1128.7</v>
      </c>
      <c r="J29" s="71" t="s">
        <v>1357</v>
      </c>
      <c r="K29" s="97" t="s">
        <v>1386</v>
      </c>
      <c r="L29" s="71" t="s">
        <v>1354</v>
      </c>
      <c r="M29" s="71">
        <v>901120269</v>
      </c>
      <c r="N29" s="75">
        <v>21148</v>
      </c>
      <c r="O29" s="76">
        <f>VLOOKUP(N29,Uzcard!C:P,4,0)</f>
        <v>10431.25</v>
      </c>
      <c r="P29" s="76">
        <f>VLOOKUP(N29,Uzcard!C:P,6,0)</f>
        <v>3957.8</v>
      </c>
      <c r="Q29" s="76">
        <f>VLOOKUP(N29,Uzcard!C:P,8,0)</f>
        <v>9524.4500000000007</v>
      </c>
      <c r="R29" s="76">
        <f>VLOOKUP(N29,Uzcard!C:P,10,0)</f>
        <v>5606.7</v>
      </c>
      <c r="S29" s="76">
        <f>VLOOKUP(N29,Uzcard!C:P,12,0)</f>
        <v>7576.95</v>
      </c>
      <c r="T29" s="76">
        <f>VLOOKUP(N29,Uzcard!C:P,14,0)</f>
        <v>12446.85</v>
      </c>
      <c r="U29" s="172">
        <f>IFERROR(VLOOKUP(N29,'2026 iyul uzcard'!A:D,3,0),"0")/1000</f>
        <v>7735.95</v>
      </c>
      <c r="V29" s="172"/>
      <c r="W29" s="172"/>
      <c r="X29" s="172"/>
      <c r="Y29" s="172"/>
      <c r="Z29" s="172"/>
      <c r="AA29" s="162">
        <f t="shared" si="0"/>
        <v>57279.95</v>
      </c>
      <c r="AB29" s="162"/>
      <c r="AC29" s="162"/>
      <c r="AD29" s="71" t="s">
        <v>1517</v>
      </c>
      <c r="AE29" s="77">
        <v>105827950</v>
      </c>
    </row>
    <row r="30" spans="1:31">
      <c r="A30" s="71" t="s">
        <v>55</v>
      </c>
      <c r="B30" s="72" t="s">
        <v>1756</v>
      </c>
      <c r="C30" s="68" t="s">
        <v>10</v>
      </c>
      <c r="D30" s="83" t="s">
        <v>1394</v>
      </c>
      <c r="E30" s="71" t="s">
        <v>364</v>
      </c>
      <c r="F30" s="95" t="s">
        <v>475</v>
      </c>
      <c r="G30" s="96" t="s">
        <v>522</v>
      </c>
      <c r="H30" s="90" t="s">
        <v>1780</v>
      </c>
      <c r="I30" s="67">
        <v>1128.7</v>
      </c>
      <c r="J30" s="71" t="s">
        <v>1358</v>
      </c>
      <c r="K30" s="97" t="s">
        <v>1391</v>
      </c>
      <c r="L30" s="71" t="s">
        <v>1359</v>
      </c>
      <c r="M30" s="71">
        <v>901120413</v>
      </c>
      <c r="N30" s="75">
        <v>21299</v>
      </c>
      <c r="O30" s="76">
        <f>VLOOKUP(N30,Uzcard!C:P,4,0)</f>
        <v>3312.45</v>
      </c>
      <c r="P30" s="76">
        <f>VLOOKUP(N30,Uzcard!C:P,6,0)</f>
        <v>860.5</v>
      </c>
      <c r="Q30" s="76">
        <f>VLOOKUP(N30,Uzcard!C:P,8,0)</f>
        <v>6031.6</v>
      </c>
      <c r="R30" s="76">
        <f>VLOOKUP(N30,Uzcard!C:P,10,0)</f>
        <v>4090.6</v>
      </c>
      <c r="S30" s="76">
        <f>VLOOKUP(N30,Uzcard!C:P,12,0)</f>
        <v>2636.25</v>
      </c>
      <c r="T30" s="76">
        <f>VLOOKUP(N30,Uzcard!C:P,14,0)</f>
        <v>5893.85</v>
      </c>
      <c r="U30" s="172">
        <f>IFERROR(VLOOKUP(N30,'2026 iyul uzcard'!A:D,3,0),"0")/1000</f>
        <v>5587.85</v>
      </c>
      <c r="V30" s="172"/>
      <c r="W30" s="172"/>
      <c r="X30" s="172"/>
      <c r="Y30" s="172"/>
      <c r="Z30" s="172"/>
      <c r="AA30" s="162">
        <f t="shared" si="0"/>
        <v>28413.1</v>
      </c>
      <c r="AB30" s="162"/>
      <c r="AC30" s="162"/>
      <c r="AD30" s="71" t="s">
        <v>1517</v>
      </c>
      <c r="AE30" s="77">
        <v>144808312</v>
      </c>
    </row>
    <row r="31" spans="1:31">
      <c r="A31" s="71" t="s">
        <v>56</v>
      </c>
      <c r="B31" s="72" t="s">
        <v>1756</v>
      </c>
      <c r="C31" s="68" t="s">
        <v>10</v>
      </c>
      <c r="D31" s="83" t="s">
        <v>1394</v>
      </c>
      <c r="E31" s="71" t="s">
        <v>364</v>
      </c>
      <c r="F31" s="95" t="s">
        <v>474</v>
      </c>
      <c r="G31" s="96" t="s">
        <v>522</v>
      </c>
      <c r="H31" s="96"/>
      <c r="I31" s="96"/>
      <c r="J31" s="71" t="s">
        <v>1346</v>
      </c>
      <c r="K31" s="97" t="s">
        <v>1377</v>
      </c>
      <c r="L31" s="71" t="s">
        <v>1359</v>
      </c>
      <c r="M31" s="71">
        <v>901119583</v>
      </c>
      <c r="N31" s="75">
        <v>20437</v>
      </c>
      <c r="O31" s="76">
        <f>VLOOKUP(N31,Uzcard!C:P,4,0)</f>
        <v>111.9</v>
      </c>
      <c r="P31" s="76">
        <f>VLOOKUP(N31,Uzcard!C:P,6,0)</f>
        <v>673.15</v>
      </c>
      <c r="Q31" s="76">
        <f>VLOOKUP(N31,Uzcard!C:P,8,0)</f>
        <v>142</v>
      </c>
      <c r="R31" s="76">
        <f>VLOOKUP(N31,Uzcard!C:P,10,0)</f>
        <v>76</v>
      </c>
      <c r="S31" s="76">
        <f>VLOOKUP(N31,Uzcard!C:P,12,0)</f>
        <v>0</v>
      </c>
      <c r="T31" s="76">
        <f>VLOOKUP(N31,Uzcard!C:P,14,0)</f>
        <v>0</v>
      </c>
      <c r="U31" s="172">
        <f>IFERROR(VLOOKUP(N31,'2026 iyul uzcard'!A:D,3,0),"0")/1000</f>
        <v>0</v>
      </c>
      <c r="V31" s="172"/>
      <c r="W31" s="172"/>
      <c r="X31" s="172"/>
      <c r="Y31" s="172"/>
      <c r="Z31" s="172"/>
      <c r="AA31" s="162">
        <f t="shared" si="0"/>
        <v>1003.05</v>
      </c>
      <c r="AB31" s="162"/>
      <c r="AC31" s="162"/>
      <c r="AD31" s="71" t="s">
        <v>1515</v>
      </c>
      <c r="AE31" s="77">
        <v>100458192.72</v>
      </c>
    </row>
    <row r="32" spans="1:31">
      <c r="A32" s="71" t="s">
        <v>57</v>
      </c>
      <c r="B32" s="72" t="s">
        <v>1756</v>
      </c>
      <c r="C32" s="68" t="s">
        <v>10</v>
      </c>
      <c r="D32" s="83" t="s">
        <v>1394</v>
      </c>
      <c r="E32" s="71" t="s">
        <v>370</v>
      </c>
      <c r="F32" s="79" t="s">
        <v>371</v>
      </c>
      <c r="G32" s="96" t="s">
        <v>522</v>
      </c>
      <c r="H32" s="98" t="s">
        <v>1773</v>
      </c>
      <c r="I32" s="67">
        <v>1848</v>
      </c>
      <c r="J32" s="71">
        <v>5310178048</v>
      </c>
      <c r="K32" s="97" t="s">
        <v>1390</v>
      </c>
      <c r="L32" s="71" t="s">
        <v>1359</v>
      </c>
      <c r="M32" s="71" t="s">
        <v>1360</v>
      </c>
      <c r="N32" s="82" t="s">
        <v>1361</v>
      </c>
      <c r="O32" s="76">
        <f>VLOOKUP(N32,Humo!C:P,4,0)</f>
        <v>4673</v>
      </c>
      <c r="P32" s="77">
        <f>VLOOKUP(N32,Humo!C:P,6,0)</f>
        <v>2775</v>
      </c>
      <c r="Q32" s="77">
        <f>VLOOKUP(N32,Humo!C:P,8,0)</f>
        <v>59.8</v>
      </c>
      <c r="R32" s="77">
        <f>VLOOKUP(N32,Humo!C:P,10,0)</f>
        <v>0</v>
      </c>
      <c r="S32" s="77">
        <f>VLOOKUP(N32,Humo!C:P,12,0)</f>
        <v>2959.3</v>
      </c>
      <c r="T32" s="77">
        <f>VLOOKUP(N32,Humo!C:P,14,0)</f>
        <v>6250</v>
      </c>
      <c r="U32" s="77">
        <f>IFERROR(VLOOKUP(N32,'2026 iyul humo'!A:D,4,0),"0")/1000</f>
        <v>4918.1000000000004</v>
      </c>
      <c r="V32" s="77"/>
      <c r="W32" s="77"/>
      <c r="X32" s="77"/>
      <c r="Y32" s="77"/>
      <c r="Z32" s="77"/>
      <c r="AA32" s="162">
        <f t="shared" si="0"/>
        <v>21635.199999999997</v>
      </c>
      <c r="AB32" s="162"/>
      <c r="AC32" s="162"/>
      <c r="AD32" s="71" t="s">
        <v>1514</v>
      </c>
      <c r="AE32" s="77">
        <v>63098415.920000002</v>
      </c>
    </row>
    <row r="33" spans="1:31">
      <c r="A33" s="71" t="s">
        <v>58</v>
      </c>
      <c r="B33" s="72" t="s">
        <v>1756</v>
      </c>
      <c r="C33" s="68" t="s">
        <v>10</v>
      </c>
      <c r="D33" s="96" t="s">
        <v>1343</v>
      </c>
      <c r="E33" s="71" t="s">
        <v>364</v>
      </c>
      <c r="F33" s="95" t="s">
        <v>475</v>
      </c>
      <c r="G33" s="96" t="s">
        <v>522</v>
      </c>
      <c r="H33" s="90" t="s">
        <v>1780</v>
      </c>
      <c r="I33" s="67">
        <v>1128.7</v>
      </c>
      <c r="J33" s="71" t="s">
        <v>1362</v>
      </c>
      <c r="K33" s="97" t="s">
        <v>1379</v>
      </c>
      <c r="L33" s="71" t="s">
        <v>1363</v>
      </c>
      <c r="M33" s="71">
        <v>901124848</v>
      </c>
      <c r="N33" s="75">
        <v>25873</v>
      </c>
      <c r="O33" s="76">
        <f>VLOOKUP(N33,Uzcard!C:P,4,0)</f>
        <v>6075.75</v>
      </c>
      <c r="P33" s="76">
        <f>VLOOKUP(N33,Uzcard!C:P,6,0)</f>
        <v>5033.1499999999996</v>
      </c>
      <c r="Q33" s="76">
        <f>VLOOKUP(N33,Uzcard!C:P,8,0)</f>
        <v>4296</v>
      </c>
      <c r="R33" s="76">
        <f>VLOOKUP(N33,Uzcard!C:P,10,0)</f>
        <v>6955.25</v>
      </c>
      <c r="S33" s="76">
        <f>VLOOKUP(N33,Uzcard!C:P,12,0)</f>
        <v>9526.4</v>
      </c>
      <c r="T33" s="76">
        <f>VLOOKUP(N33,Uzcard!C:P,14,0)</f>
        <v>11652.1</v>
      </c>
      <c r="U33" s="172">
        <f>IFERROR(VLOOKUP(N33,'2026 iyul uzcard'!A:D,3,0),"0")/1000</f>
        <v>7859.75</v>
      </c>
      <c r="V33" s="172"/>
      <c r="W33" s="172"/>
      <c r="X33" s="172"/>
      <c r="Y33" s="172"/>
      <c r="Z33" s="172"/>
      <c r="AA33" s="162">
        <f t="shared" si="0"/>
        <v>51398.400000000001</v>
      </c>
      <c r="AB33" s="162"/>
      <c r="AC33" s="162"/>
      <c r="AD33" s="71" t="s">
        <v>1512</v>
      </c>
      <c r="AE33" s="77">
        <v>131315497</v>
      </c>
    </row>
    <row r="34" spans="1:31" s="89" customFormat="1">
      <c r="A34" s="71" t="s">
        <v>59</v>
      </c>
      <c r="B34" s="72" t="s">
        <v>1756</v>
      </c>
      <c r="C34" s="69" t="s">
        <v>10</v>
      </c>
      <c r="D34" s="96" t="s">
        <v>1343</v>
      </c>
      <c r="E34" s="79" t="s">
        <v>370</v>
      </c>
      <c r="F34" s="79" t="s">
        <v>475</v>
      </c>
      <c r="G34" s="95" t="s">
        <v>522</v>
      </c>
      <c r="H34" s="99" t="s">
        <v>1773</v>
      </c>
      <c r="I34" s="67">
        <v>1848</v>
      </c>
      <c r="J34" s="84" t="s">
        <v>1388</v>
      </c>
      <c r="K34" s="97" t="s">
        <v>1385</v>
      </c>
      <c r="L34" s="79" t="s">
        <v>1363</v>
      </c>
      <c r="M34" s="100" t="s">
        <v>1655</v>
      </c>
      <c r="N34" s="87" t="s">
        <v>1364</v>
      </c>
      <c r="O34" s="76">
        <f>VLOOKUP(N34,Humo!C:P,4,0)</f>
        <v>1722.8</v>
      </c>
      <c r="P34" s="77">
        <f>VLOOKUP(N34,Humo!C:P,6,0)</f>
        <v>2093.8000000000002</v>
      </c>
      <c r="Q34" s="77">
        <f>VLOOKUP(N34,Humo!C:P,8,0)</f>
        <v>5989.6</v>
      </c>
      <c r="R34" s="77">
        <f>VLOOKUP(N34,Humo!C:P,10,0)</f>
        <v>1329.7</v>
      </c>
      <c r="S34" s="77">
        <f>VLOOKUP(N34,Humo!C:P,12,0)</f>
        <v>287.89999999999998</v>
      </c>
      <c r="T34" s="77">
        <f>VLOOKUP(N34,Humo!C:P,14,0)</f>
        <v>2679.2</v>
      </c>
      <c r="U34" s="77">
        <f>IFERROR(VLOOKUP(N34,'2026 iyul humo'!A:D,4,0),"0")/1000</f>
        <v>2701.85</v>
      </c>
      <c r="V34" s="77"/>
      <c r="W34" s="77"/>
      <c r="X34" s="77"/>
      <c r="Y34" s="77"/>
      <c r="Z34" s="77"/>
      <c r="AA34" s="162">
        <f t="shared" si="0"/>
        <v>16804.849999999999</v>
      </c>
      <c r="AB34" s="162"/>
      <c r="AC34" s="162"/>
      <c r="AD34" s="79" t="s">
        <v>1512</v>
      </c>
      <c r="AE34" s="88">
        <v>131315497</v>
      </c>
    </row>
    <row r="35" spans="1:31">
      <c r="A35" s="71" t="s">
        <v>60</v>
      </c>
      <c r="B35" s="72" t="s">
        <v>1756</v>
      </c>
      <c r="C35" s="68" t="s">
        <v>10</v>
      </c>
      <c r="D35" s="96" t="s">
        <v>1344</v>
      </c>
      <c r="E35" s="71" t="s">
        <v>381</v>
      </c>
      <c r="F35" s="93" t="s">
        <v>382</v>
      </c>
      <c r="G35" s="94" t="s">
        <v>491</v>
      </c>
      <c r="H35" s="94"/>
      <c r="I35" s="94"/>
      <c r="J35" s="71">
        <v>219339</v>
      </c>
      <c r="K35" s="97" t="s">
        <v>1382</v>
      </c>
      <c r="L35" s="71" t="s">
        <v>1365</v>
      </c>
      <c r="M35" s="96" t="s">
        <v>1370</v>
      </c>
      <c r="N35" s="82" t="s">
        <v>1370</v>
      </c>
      <c r="O35" s="76">
        <f>IFERROR(VLOOKUP(N35,'2026 yanvar vash'!A:D,4,0),"0")/1000</f>
        <v>0.1</v>
      </c>
      <c r="P35" s="173">
        <f>IFERROR(VLOOKUP(N35,'2026 fevral vash'!A:D,4,0),"0")/1000</f>
        <v>0.01</v>
      </c>
      <c r="Q35" s="173">
        <f>IFERROR(VLOOKUP(N35,'2026 mart vash'!A:D,4,0),"0")/1000</f>
        <v>11.98</v>
      </c>
      <c r="R35" s="173">
        <f>IFERROR(VLOOKUP(N35,'2026 aprel vash'!A:D,4,0),"0")/1000</f>
        <v>13.95</v>
      </c>
      <c r="S35" s="173">
        <f>IFERROR(VLOOKUP(N35,'2026 may vash'!A:D,4,0),"0")/1000</f>
        <v>0</v>
      </c>
      <c r="T35" s="173">
        <f>IFERROR(VLOOKUP(N35,'2026 iyun vash'!A:D,4,0),"0")/1000</f>
        <v>0</v>
      </c>
      <c r="U35" s="173">
        <f>IFERROR(VLOOKUP(N35,'2026 iyul vash'!A:D,4,0),"0")/1000</f>
        <v>0</v>
      </c>
      <c r="V35" s="173"/>
      <c r="W35" s="173"/>
      <c r="X35" s="173"/>
      <c r="Y35" s="173"/>
      <c r="Z35" s="173"/>
      <c r="AA35" s="162">
        <f t="shared" si="0"/>
        <v>26.04</v>
      </c>
      <c r="AB35" s="162"/>
      <c r="AC35" s="162"/>
      <c r="AD35" s="71" t="s">
        <v>1514</v>
      </c>
      <c r="AE35" s="77">
        <v>216557286.44999999</v>
      </c>
    </row>
    <row r="36" spans="1:31">
      <c r="A36" s="71" t="s">
        <v>61</v>
      </c>
      <c r="B36" s="72" t="s">
        <v>1756</v>
      </c>
      <c r="C36" s="68" t="s">
        <v>10</v>
      </c>
      <c r="D36" s="96" t="s">
        <v>1344</v>
      </c>
      <c r="E36" s="71" t="s">
        <v>370</v>
      </c>
      <c r="F36" s="79" t="s">
        <v>371</v>
      </c>
      <c r="G36" s="96" t="s">
        <v>522</v>
      </c>
      <c r="H36" s="98" t="s">
        <v>1773</v>
      </c>
      <c r="I36" s="67">
        <v>1848</v>
      </c>
      <c r="J36" s="71">
        <v>5310181402</v>
      </c>
      <c r="K36" s="97" t="s">
        <v>1383</v>
      </c>
      <c r="L36" s="71" t="s">
        <v>1365</v>
      </c>
      <c r="M36" s="71" t="s">
        <v>1352</v>
      </c>
      <c r="N36" s="82" t="s">
        <v>1366</v>
      </c>
      <c r="O36" s="76">
        <f>VLOOKUP(N36,Humo!C:P,4,0)</f>
        <v>8689.6</v>
      </c>
      <c r="P36" s="77">
        <f>VLOOKUP(N36,Humo!C:P,6,0)</f>
        <v>9488.4</v>
      </c>
      <c r="Q36" s="77">
        <f>VLOOKUP(N36,Humo!C:P,8,0)</f>
        <v>10797.9</v>
      </c>
      <c r="R36" s="77">
        <f>VLOOKUP(N36,Humo!C:P,10,0)</f>
        <v>6312.3</v>
      </c>
      <c r="S36" s="77">
        <f>VLOOKUP(N36,Humo!C:P,12,0)</f>
        <v>11552.1</v>
      </c>
      <c r="T36" s="77">
        <f>VLOOKUP(N36,Humo!C:P,14,0)</f>
        <v>10590.2</v>
      </c>
      <c r="U36" s="77">
        <f>IFERROR(VLOOKUP(N36,'2026 iyul humo'!A:D,4,0),"0")/1000</f>
        <v>6910.8</v>
      </c>
      <c r="V36" s="77"/>
      <c r="W36" s="77"/>
      <c r="X36" s="77"/>
      <c r="Y36" s="77"/>
      <c r="Z36" s="77"/>
      <c r="AA36" s="162">
        <f t="shared" si="0"/>
        <v>64341.3</v>
      </c>
      <c r="AB36" s="162"/>
      <c r="AC36" s="162"/>
      <c r="AD36" s="71" t="s">
        <v>1514</v>
      </c>
      <c r="AE36" s="77">
        <v>62805331</v>
      </c>
    </row>
    <row r="37" spans="1:31">
      <c r="A37" s="71" t="s">
        <v>62</v>
      </c>
      <c r="B37" s="72" t="s">
        <v>1756</v>
      </c>
      <c r="C37" s="68" t="s">
        <v>10</v>
      </c>
      <c r="D37" s="96" t="s">
        <v>1345</v>
      </c>
      <c r="E37" s="71" t="s">
        <v>364</v>
      </c>
      <c r="F37" s="95" t="s">
        <v>475</v>
      </c>
      <c r="G37" s="96" t="s">
        <v>522</v>
      </c>
      <c r="H37" s="90" t="s">
        <v>1780</v>
      </c>
      <c r="I37" s="67">
        <v>1128.7</v>
      </c>
      <c r="J37" s="101" t="s">
        <v>1486</v>
      </c>
      <c r="K37" s="97" t="s">
        <v>1387</v>
      </c>
      <c r="L37" s="71" t="s">
        <v>1367</v>
      </c>
      <c r="M37" s="71">
        <v>901120414</v>
      </c>
      <c r="N37" s="75">
        <v>21300</v>
      </c>
      <c r="O37" s="76">
        <f>VLOOKUP(N37,Uzcard!C:P,4,0)</f>
        <v>4411.8</v>
      </c>
      <c r="P37" s="76">
        <f>VLOOKUP(N37,Uzcard!C:P,6,0)</f>
        <v>3688.9</v>
      </c>
      <c r="Q37" s="76">
        <f>VLOOKUP(N37,Uzcard!C:P,8,0)</f>
        <v>5358.5</v>
      </c>
      <c r="R37" s="76">
        <f>VLOOKUP(N37,Uzcard!C:P,10,0)</f>
        <v>5633.9</v>
      </c>
      <c r="S37" s="76">
        <f>VLOOKUP(N37,Uzcard!C:P,12,0)</f>
        <v>6650.35</v>
      </c>
      <c r="T37" s="76">
        <f>VLOOKUP(N37,Uzcard!C:P,14,0)</f>
        <v>7674.35</v>
      </c>
      <c r="U37" s="172">
        <f>IFERROR(VLOOKUP(N37,'2026 iyul uzcard'!A:D,3,0),"0")/1000</f>
        <v>3829.6</v>
      </c>
      <c r="V37" s="172"/>
      <c r="W37" s="172"/>
      <c r="X37" s="172"/>
      <c r="Y37" s="172"/>
      <c r="Z37" s="172"/>
      <c r="AA37" s="162">
        <f t="shared" si="0"/>
        <v>37247.399999999994</v>
      </c>
      <c r="AB37" s="162"/>
      <c r="AC37" s="162"/>
      <c r="AD37" s="71" t="s">
        <v>1512</v>
      </c>
      <c r="AE37" s="77">
        <v>131315497</v>
      </c>
    </row>
    <row r="38" spans="1:31" s="102" customFormat="1">
      <c r="A38" s="71" t="s">
        <v>63</v>
      </c>
      <c r="B38" s="72" t="s">
        <v>1756</v>
      </c>
      <c r="C38" s="69" t="s">
        <v>10</v>
      </c>
      <c r="D38" s="83" t="s">
        <v>24</v>
      </c>
      <c r="E38" s="71" t="s">
        <v>364</v>
      </c>
      <c r="F38" s="95" t="s">
        <v>474</v>
      </c>
      <c r="G38" s="96" t="s">
        <v>491</v>
      </c>
      <c r="H38" s="96"/>
      <c r="I38" s="96"/>
      <c r="J38" s="101" t="s">
        <v>1487</v>
      </c>
      <c r="K38" s="97" t="s">
        <v>1522</v>
      </c>
      <c r="L38" s="71" t="s">
        <v>1347</v>
      </c>
      <c r="M38" s="71">
        <v>901115134</v>
      </c>
      <c r="N38" s="75">
        <v>15903</v>
      </c>
      <c r="O38" s="76">
        <f>VLOOKUP(N38,Uzcard!C:P,4,0)</f>
        <v>2623.625</v>
      </c>
      <c r="P38" s="76">
        <f>VLOOKUP(N38,Uzcard!C:P,6,0)</f>
        <v>2456.6</v>
      </c>
      <c r="Q38" s="76">
        <f>VLOOKUP(N38,Uzcard!C:P,8,0)</f>
        <v>26.5</v>
      </c>
      <c r="R38" s="76">
        <f>VLOOKUP(N38,Uzcard!C:P,10,0)</f>
        <v>0</v>
      </c>
      <c r="S38" s="76">
        <f>VLOOKUP(N38,Uzcard!C:P,12,0)</f>
        <v>0</v>
      </c>
      <c r="T38" s="76">
        <f>VLOOKUP(N38,Uzcard!C:P,14,0)</f>
        <v>0</v>
      </c>
      <c r="U38" s="172">
        <f>IFERROR(VLOOKUP(N38,'2026 iyul uzcard'!A:D,3,0),"0")/1000</f>
        <v>0</v>
      </c>
      <c r="V38" s="172"/>
      <c r="W38" s="172"/>
      <c r="X38" s="172"/>
      <c r="Y38" s="172"/>
      <c r="Z38" s="172"/>
      <c r="AA38" s="162">
        <f t="shared" si="0"/>
        <v>5106.7250000000004</v>
      </c>
      <c r="AB38" s="162"/>
      <c r="AC38" s="162"/>
      <c r="AD38" s="71" t="s">
        <v>1523</v>
      </c>
      <c r="AE38" s="77">
        <v>106507213.69</v>
      </c>
    </row>
    <row r="39" spans="1:31" s="102" customFormat="1">
      <c r="A39" s="71" t="s">
        <v>64</v>
      </c>
      <c r="B39" s="72" t="s">
        <v>1756</v>
      </c>
      <c r="C39" s="69" t="s">
        <v>10</v>
      </c>
      <c r="D39" s="83" t="s">
        <v>24</v>
      </c>
      <c r="E39" s="103" t="s">
        <v>364</v>
      </c>
      <c r="F39" s="104" t="s">
        <v>474</v>
      </c>
      <c r="G39" s="96" t="s">
        <v>491</v>
      </c>
      <c r="H39" s="96"/>
      <c r="I39" s="96"/>
      <c r="J39" s="101" t="s">
        <v>1488</v>
      </c>
      <c r="K39" s="97" t="s">
        <v>1393</v>
      </c>
      <c r="L39" s="71" t="s">
        <v>1368</v>
      </c>
      <c r="M39" s="186" t="s">
        <v>2178</v>
      </c>
      <c r="N39" s="75">
        <v>18057</v>
      </c>
      <c r="O39" s="76">
        <f>VLOOKUP(N39,Uzcard!C:P,4,0)</f>
        <v>0.1</v>
      </c>
      <c r="P39" s="76">
        <f>VLOOKUP(N39,Uzcard!C:P,6,0)</f>
        <v>0</v>
      </c>
      <c r="Q39" s="76">
        <f>VLOOKUP(N39,Uzcard!C:P,8,0)</f>
        <v>0</v>
      </c>
      <c r="R39" s="76">
        <f>VLOOKUP(N39,Uzcard!C:P,10,0)</f>
        <v>0</v>
      </c>
      <c r="S39" s="76">
        <f>VLOOKUP(N39,Uzcard!C:P,12,0)</f>
        <v>0</v>
      </c>
      <c r="T39" s="76">
        <f>VLOOKUP(N39,Uzcard!C:P,14,0)</f>
        <v>0</v>
      </c>
      <c r="U39" s="172">
        <f>IFERROR(VLOOKUP(N39,'2026 iyul uzcard'!A:D,3,0),"0")/1000</f>
        <v>0</v>
      </c>
      <c r="V39" s="172"/>
      <c r="W39" s="172"/>
      <c r="X39" s="172"/>
      <c r="Y39" s="172"/>
      <c r="Z39" s="172"/>
      <c r="AA39" s="162">
        <f t="shared" si="0"/>
        <v>0.1</v>
      </c>
      <c r="AB39" s="162"/>
      <c r="AC39" s="162"/>
      <c r="AD39" s="71" t="s">
        <v>1518</v>
      </c>
      <c r="AE39" s="77">
        <v>106507213.69</v>
      </c>
    </row>
    <row r="40" spans="1:31" s="102" customFormat="1">
      <c r="A40" s="71" t="s">
        <v>65</v>
      </c>
      <c r="B40" s="72" t="s">
        <v>1756</v>
      </c>
      <c r="C40" s="69" t="s">
        <v>10</v>
      </c>
      <c r="D40" s="83" t="s">
        <v>24</v>
      </c>
      <c r="E40" s="71" t="s">
        <v>370</v>
      </c>
      <c r="F40" s="104" t="s">
        <v>475</v>
      </c>
      <c r="G40" s="96" t="s">
        <v>491</v>
      </c>
      <c r="H40" s="98" t="s">
        <v>1773</v>
      </c>
      <c r="I40" s="67">
        <v>1848</v>
      </c>
      <c r="J40" s="83" t="s">
        <v>1392</v>
      </c>
      <c r="K40" s="97" t="s">
        <v>1384</v>
      </c>
      <c r="L40" s="79" t="s">
        <v>1368</v>
      </c>
      <c r="M40" s="100" t="s">
        <v>1656</v>
      </c>
      <c r="N40" s="87" t="s">
        <v>1369</v>
      </c>
      <c r="O40" s="76">
        <f>VLOOKUP(N40,Humo!C:P,4,0)</f>
        <v>1333.7</v>
      </c>
      <c r="P40" s="77">
        <f>VLOOKUP(N40,Humo!C:P,6,0)</f>
        <v>2.2999999999999998</v>
      </c>
      <c r="Q40" s="77">
        <f>VLOOKUP(N40,Humo!C:P,8,0)</f>
        <v>244.6</v>
      </c>
      <c r="R40" s="77">
        <f>VLOOKUP(N40,Humo!C:P,10,0)</f>
        <v>0</v>
      </c>
      <c r="S40" s="77">
        <f>VLOOKUP(N40,Humo!C:P,12,0)</f>
        <v>0</v>
      </c>
      <c r="T40" s="77">
        <f>VLOOKUP(N40,Humo!C:P,14,0)</f>
        <v>0</v>
      </c>
      <c r="U40" s="77">
        <f>IFERROR(VLOOKUP(N40,'2026 iyul humo'!A:D,4,0),"0")/1000</f>
        <v>0</v>
      </c>
      <c r="V40" s="77"/>
      <c r="W40" s="77"/>
      <c r="X40" s="77"/>
      <c r="Y40" s="77"/>
      <c r="Z40" s="77"/>
      <c r="AA40" s="162">
        <f t="shared" si="0"/>
        <v>1580.6</v>
      </c>
      <c r="AB40" s="162"/>
      <c r="AC40" s="162"/>
      <c r="AD40" s="71" t="s">
        <v>1512</v>
      </c>
      <c r="AE40" s="77">
        <v>131315497</v>
      </c>
    </row>
    <row r="41" spans="1:31">
      <c r="A41" s="71" t="s">
        <v>66</v>
      </c>
      <c r="B41" s="72" t="s">
        <v>1757</v>
      </c>
      <c r="C41" s="68" t="s">
        <v>11</v>
      </c>
      <c r="D41" s="73" t="s">
        <v>1243</v>
      </c>
      <c r="E41" s="105" t="s">
        <v>364</v>
      </c>
      <c r="F41" s="106" t="s">
        <v>475</v>
      </c>
      <c r="G41" s="107" t="s">
        <v>522</v>
      </c>
      <c r="H41" s="90" t="s">
        <v>1780</v>
      </c>
      <c r="I41" s="67">
        <v>1128.7</v>
      </c>
      <c r="J41" s="71" t="s">
        <v>1021</v>
      </c>
      <c r="K41" s="71" t="s">
        <v>1036</v>
      </c>
      <c r="L41" s="71" t="s">
        <v>1061</v>
      </c>
      <c r="M41" s="71">
        <v>901125342</v>
      </c>
      <c r="N41" s="75">
        <v>26393</v>
      </c>
      <c r="O41" s="76">
        <f>VLOOKUP(N41,Uzcard!C:P,4,0)</f>
        <v>12216.45</v>
      </c>
      <c r="P41" s="76">
        <f>VLOOKUP(N41,Uzcard!C:P,6,0)</f>
        <v>9184.7000000000007</v>
      </c>
      <c r="Q41" s="76">
        <f>VLOOKUP(N41,Uzcard!C:P,8,0)</f>
        <v>10002.200000000001</v>
      </c>
      <c r="R41" s="76">
        <f>VLOOKUP(N41,Uzcard!C:P,10,0)</f>
        <v>5541.9</v>
      </c>
      <c r="S41" s="76">
        <f>VLOOKUP(N41,Uzcard!C:P,12,0)</f>
        <v>7621.9</v>
      </c>
      <c r="T41" s="76">
        <f>VLOOKUP(N41,Uzcard!C:P,14,0)</f>
        <v>3442.45</v>
      </c>
      <c r="U41" s="172">
        <f>IFERROR(VLOOKUP(N41,'2026 iyul uzcard'!A:D,3,0),"0")/1000</f>
        <v>10670.55</v>
      </c>
      <c r="V41" s="172"/>
      <c r="W41" s="172"/>
      <c r="X41" s="172"/>
      <c r="Y41" s="172"/>
      <c r="Z41" s="172"/>
      <c r="AA41" s="162">
        <f t="shared" si="0"/>
        <v>58680.149999999994</v>
      </c>
      <c r="AB41" s="162"/>
      <c r="AC41" s="162"/>
      <c r="AD41" s="71" t="s">
        <v>1517</v>
      </c>
      <c r="AE41" s="77">
        <v>144808312</v>
      </c>
    </row>
    <row r="42" spans="1:31">
      <c r="A42" s="71" t="s">
        <v>67</v>
      </c>
      <c r="B42" s="72" t="s">
        <v>1757</v>
      </c>
      <c r="C42" s="68" t="s">
        <v>11</v>
      </c>
      <c r="D42" s="73" t="s">
        <v>1243</v>
      </c>
      <c r="E42" s="105" t="s">
        <v>370</v>
      </c>
      <c r="F42" s="95" t="s">
        <v>371</v>
      </c>
      <c r="G42" s="107" t="s">
        <v>522</v>
      </c>
      <c r="H42" s="98" t="s">
        <v>1773</v>
      </c>
      <c r="I42" s="67">
        <v>1848</v>
      </c>
      <c r="J42" s="71">
        <v>5310177311</v>
      </c>
      <c r="K42" s="71" t="s">
        <v>1037</v>
      </c>
      <c r="L42" s="71" t="s">
        <v>1061</v>
      </c>
      <c r="M42" s="71" t="s">
        <v>1062</v>
      </c>
      <c r="N42" s="82" t="s">
        <v>1063</v>
      </c>
      <c r="O42" s="76">
        <f>VLOOKUP(N42,Humo!C:P,4,0)</f>
        <v>671.55</v>
      </c>
      <c r="P42" s="77">
        <f>VLOOKUP(N42,Humo!C:P,6,0)</f>
        <v>4655.1499999999996</v>
      </c>
      <c r="Q42" s="77">
        <f>VLOOKUP(N42,Humo!C:P,8,0)</f>
        <v>4679.6000000000004</v>
      </c>
      <c r="R42" s="77">
        <f>VLOOKUP(N42,Humo!C:P,10,0)</f>
        <v>2177.4</v>
      </c>
      <c r="S42" s="77">
        <f>VLOOKUP(N42,Humo!C:P,12,0)</f>
        <v>4641.6000000000004</v>
      </c>
      <c r="T42" s="77">
        <f>VLOOKUP(N42,Humo!C:P,14,0)</f>
        <v>3029.35</v>
      </c>
      <c r="U42" s="77">
        <f>IFERROR(VLOOKUP(N42,'2026 iyul humo'!A:D,4,0),"0")/1000</f>
        <v>3566.3</v>
      </c>
      <c r="V42" s="77"/>
      <c r="W42" s="77"/>
      <c r="X42" s="77"/>
      <c r="Y42" s="77"/>
      <c r="Z42" s="77"/>
      <c r="AA42" s="162">
        <f t="shared" si="0"/>
        <v>23420.949999999997</v>
      </c>
      <c r="AB42" s="162"/>
      <c r="AC42" s="162"/>
      <c r="AD42" s="71" t="s">
        <v>1538</v>
      </c>
      <c r="AE42" s="77">
        <v>62805331</v>
      </c>
    </row>
    <row r="43" spans="1:31">
      <c r="A43" s="71" t="s">
        <v>68</v>
      </c>
      <c r="B43" s="72" t="s">
        <v>1757</v>
      </c>
      <c r="C43" s="68" t="s">
        <v>11</v>
      </c>
      <c r="D43" s="73" t="s">
        <v>1243</v>
      </c>
      <c r="E43" s="105" t="s">
        <v>370</v>
      </c>
      <c r="F43" s="106" t="s">
        <v>376</v>
      </c>
      <c r="G43" s="107" t="s">
        <v>522</v>
      </c>
      <c r="H43" s="98" t="s">
        <v>1773</v>
      </c>
      <c r="I43" s="67">
        <v>1848</v>
      </c>
      <c r="J43" s="79">
        <v>1108457438</v>
      </c>
      <c r="K43" s="71" t="s">
        <v>1038</v>
      </c>
      <c r="L43" s="71" t="s">
        <v>1061</v>
      </c>
      <c r="M43" s="71" t="s">
        <v>1064</v>
      </c>
      <c r="N43" s="82" t="s">
        <v>1065</v>
      </c>
      <c r="O43" s="76">
        <f>VLOOKUP(N43,Humo!C:P,4,0)</f>
        <v>0</v>
      </c>
      <c r="P43" s="77">
        <f>VLOOKUP(N43,Humo!C:P,6,0)</f>
        <v>1530.1</v>
      </c>
      <c r="Q43" s="77">
        <f>VLOOKUP(N43,Humo!C:P,8,0)</f>
        <v>2182.9</v>
      </c>
      <c r="R43" s="77">
        <f>VLOOKUP(N43,Humo!C:P,10,0)</f>
        <v>2625.8</v>
      </c>
      <c r="S43" s="77">
        <f>VLOOKUP(N43,Humo!C:P,12,0)</f>
        <v>2799.9</v>
      </c>
      <c r="T43" s="77">
        <f>VLOOKUP(N43,Humo!C:P,14,0)</f>
        <v>3703.3</v>
      </c>
      <c r="U43" s="77">
        <f>IFERROR(VLOOKUP(N43,'2026 iyul humo'!A:D,4,0),"0")/1000</f>
        <v>15124.4</v>
      </c>
      <c r="V43" s="77"/>
      <c r="W43" s="77"/>
      <c r="X43" s="77"/>
      <c r="Y43" s="77"/>
      <c r="Z43" s="77"/>
      <c r="AA43" s="162">
        <f t="shared" si="0"/>
        <v>27966.400000000001</v>
      </c>
      <c r="AB43" s="162"/>
      <c r="AC43" s="162"/>
      <c r="AD43" s="71" t="s">
        <v>1536</v>
      </c>
      <c r="AE43" s="77">
        <v>168243023</v>
      </c>
    </row>
    <row r="44" spans="1:31">
      <c r="A44" s="71" t="s">
        <v>69</v>
      </c>
      <c r="B44" s="72" t="s">
        <v>1757</v>
      </c>
      <c r="C44" s="68" t="s">
        <v>11</v>
      </c>
      <c r="D44" s="73" t="s">
        <v>1243</v>
      </c>
      <c r="E44" s="105" t="s">
        <v>381</v>
      </c>
      <c r="F44" s="93" t="s">
        <v>382</v>
      </c>
      <c r="G44" s="94" t="s">
        <v>491</v>
      </c>
      <c r="H44" s="94"/>
      <c r="I44" s="94"/>
      <c r="J44" s="71">
        <v>2118258</v>
      </c>
      <c r="K44" s="71" t="s">
        <v>1039</v>
      </c>
      <c r="L44" s="71" t="s">
        <v>1061</v>
      </c>
      <c r="M44" s="71" t="s">
        <v>1066</v>
      </c>
      <c r="N44" s="82" t="s">
        <v>1066</v>
      </c>
      <c r="O44" s="76">
        <f>IFERROR(VLOOKUP(N44,'2026 yanvar vash'!A:D,4,0),"0")/1000</f>
        <v>0</v>
      </c>
      <c r="P44" s="173">
        <f>IFERROR(VLOOKUP(N44,'2026 fevral vash'!A:D,4,0),"0")/1000</f>
        <v>0</v>
      </c>
      <c r="Q44" s="173">
        <f>IFERROR(VLOOKUP(N44,'2026 mart vash'!A:D,4,0),"0")/1000</f>
        <v>0</v>
      </c>
      <c r="R44" s="173">
        <f>IFERROR(VLOOKUP(N44,'2026 aprel vash'!A:D,4,0),"0")/1000</f>
        <v>0</v>
      </c>
      <c r="S44" s="173">
        <f>IFERROR(VLOOKUP(N44,'2026 may vash'!A:D,4,0),"0")/1000</f>
        <v>0</v>
      </c>
      <c r="T44" s="173">
        <f>IFERROR(VLOOKUP(N44,'2026 iyun vash'!A:D,4,0),"0")/1000</f>
        <v>0</v>
      </c>
      <c r="U44" s="173">
        <f>IFERROR(VLOOKUP(N44,'2026 iyul vash'!A:D,4,0),"0")/1000</f>
        <v>0</v>
      </c>
      <c r="V44" s="173"/>
      <c r="W44" s="173"/>
      <c r="X44" s="173"/>
      <c r="Y44" s="173"/>
      <c r="Z44" s="173"/>
      <c r="AA44" s="162">
        <f t="shared" si="0"/>
        <v>0</v>
      </c>
      <c r="AB44" s="162"/>
      <c r="AC44" s="162"/>
      <c r="AD44" s="71" t="s">
        <v>1539</v>
      </c>
      <c r="AE44" s="77">
        <v>171904842.81999999</v>
      </c>
    </row>
    <row r="45" spans="1:31">
      <c r="A45" s="71" t="s">
        <v>70</v>
      </c>
      <c r="B45" s="72" t="s">
        <v>1757</v>
      </c>
      <c r="C45" s="68" t="s">
        <v>11</v>
      </c>
      <c r="D45" s="73" t="s">
        <v>1243</v>
      </c>
      <c r="E45" s="105" t="s">
        <v>364</v>
      </c>
      <c r="F45" s="84" t="s">
        <v>1162</v>
      </c>
      <c r="G45" s="83" t="s">
        <v>522</v>
      </c>
      <c r="H45" s="1" t="s">
        <v>1780</v>
      </c>
      <c r="I45" s="67">
        <v>1128.7</v>
      </c>
      <c r="J45" s="71" t="s">
        <v>1395</v>
      </c>
      <c r="K45" s="71" t="s">
        <v>1396</v>
      </c>
      <c r="L45" s="71" t="s">
        <v>1061</v>
      </c>
      <c r="M45" s="71" t="s">
        <v>1397</v>
      </c>
      <c r="N45" s="75">
        <v>39977</v>
      </c>
      <c r="O45" s="76">
        <f>VLOOKUP(N45,Uzcard!C:P,4,0)</f>
        <v>0</v>
      </c>
      <c r="P45" s="76">
        <f>VLOOKUP(N45,Uzcard!C:P,6,0)</f>
        <v>0</v>
      </c>
      <c r="Q45" s="76">
        <f>VLOOKUP(N45,Uzcard!C:P,8,0)</f>
        <v>0</v>
      </c>
      <c r="R45" s="76">
        <f>VLOOKUP(N45,Uzcard!C:P,10,0)</f>
        <v>0</v>
      </c>
      <c r="S45" s="76">
        <f>VLOOKUP(N45,Uzcard!C:P,12,0)</f>
        <v>0</v>
      </c>
      <c r="T45" s="76">
        <f>VLOOKUP(N45,Uzcard!C:P,14,0)</f>
        <v>0</v>
      </c>
      <c r="U45" s="172">
        <f>IFERROR(VLOOKUP(N45,'2026 iyul uzcard'!A:D,3,0),"0")/1000</f>
        <v>1832.5</v>
      </c>
      <c r="V45" s="172"/>
      <c r="W45" s="172"/>
      <c r="X45" s="172"/>
      <c r="Y45" s="172"/>
      <c r="Z45" s="172"/>
      <c r="AA45" s="162">
        <f t="shared" si="0"/>
        <v>1832.5</v>
      </c>
      <c r="AB45" s="162"/>
      <c r="AC45" s="162"/>
      <c r="AD45" s="71" t="s">
        <v>1501</v>
      </c>
      <c r="AE45" s="77">
        <v>362504800</v>
      </c>
    </row>
    <row r="46" spans="1:31">
      <c r="A46" s="71" t="s">
        <v>71</v>
      </c>
      <c r="B46" s="72" t="s">
        <v>1757</v>
      </c>
      <c r="C46" s="68" t="s">
        <v>11</v>
      </c>
      <c r="D46" s="73" t="s">
        <v>1244</v>
      </c>
      <c r="E46" s="105" t="s">
        <v>364</v>
      </c>
      <c r="F46" s="106" t="s">
        <v>474</v>
      </c>
      <c r="G46" s="107" t="s">
        <v>522</v>
      </c>
      <c r="H46" s="107"/>
      <c r="I46" s="107"/>
      <c r="J46" s="71" t="s">
        <v>1034</v>
      </c>
      <c r="K46" s="71" t="s">
        <v>1056</v>
      </c>
      <c r="L46" s="71" t="s">
        <v>1088</v>
      </c>
      <c r="M46" s="71">
        <v>901114200</v>
      </c>
      <c r="N46" s="75">
        <v>14996</v>
      </c>
      <c r="O46" s="76">
        <f>VLOOKUP(N46,Uzcard!C:P,4,0)</f>
        <v>8058.1</v>
      </c>
      <c r="P46" s="76">
        <f>VLOOKUP(N46,Uzcard!C:P,6,0)</f>
        <v>7549.2</v>
      </c>
      <c r="Q46" s="76">
        <f>VLOOKUP(N46,Uzcard!C:P,8,0)</f>
        <v>11970.45</v>
      </c>
      <c r="R46" s="76">
        <f>VLOOKUP(N46,Uzcard!C:P,10,0)</f>
        <v>7201</v>
      </c>
      <c r="S46" s="76">
        <f>VLOOKUP(N46,Uzcard!C:P,12,0)</f>
        <v>6064.05</v>
      </c>
      <c r="T46" s="76">
        <f>VLOOKUP(N46,Uzcard!C:P,14,0)</f>
        <v>8281.4500000000007</v>
      </c>
      <c r="U46" s="172">
        <f>IFERROR(VLOOKUP(N46,'2026 iyul uzcard'!A:D,3,0),"0")/1000</f>
        <v>8914.35</v>
      </c>
      <c r="V46" s="172"/>
      <c r="W46" s="172"/>
      <c r="X46" s="172"/>
      <c r="Y46" s="172"/>
      <c r="Z46" s="172"/>
      <c r="AA46" s="162">
        <f t="shared" si="0"/>
        <v>58038.6</v>
      </c>
      <c r="AB46" s="162"/>
      <c r="AC46" s="162"/>
      <c r="AD46" s="71" t="s">
        <v>1544</v>
      </c>
      <c r="AE46" s="77">
        <v>108319139.8</v>
      </c>
    </row>
    <row r="47" spans="1:31">
      <c r="A47" s="71" t="s">
        <v>72</v>
      </c>
      <c r="B47" s="72" t="s">
        <v>1757</v>
      </c>
      <c r="C47" s="68" t="s">
        <v>11</v>
      </c>
      <c r="D47" s="73" t="s">
        <v>1244</v>
      </c>
      <c r="E47" s="105" t="s">
        <v>370</v>
      </c>
      <c r="F47" s="95" t="s">
        <v>371</v>
      </c>
      <c r="G47" s="107" t="s">
        <v>522</v>
      </c>
      <c r="H47" s="98" t="s">
        <v>1773</v>
      </c>
      <c r="I47" s="67">
        <v>1848</v>
      </c>
      <c r="J47" s="71">
        <v>5310177925</v>
      </c>
      <c r="K47" s="71" t="s">
        <v>1057</v>
      </c>
      <c r="L47" s="71" t="s">
        <v>1088</v>
      </c>
      <c r="M47" s="71" t="s">
        <v>1089</v>
      </c>
      <c r="N47" s="75" t="s">
        <v>1090</v>
      </c>
      <c r="O47" s="76">
        <f>VLOOKUP(N47,Humo!C:P,4,0)</f>
        <v>2077.6</v>
      </c>
      <c r="P47" s="77">
        <f>VLOOKUP(N47,Humo!C:P,6,0)</f>
        <v>2159.5</v>
      </c>
      <c r="Q47" s="77">
        <f>VLOOKUP(N47,Humo!C:P,8,0)</f>
        <v>4776.6000000000004</v>
      </c>
      <c r="R47" s="77">
        <f>VLOOKUP(N47,Humo!C:P,10,0)</f>
        <v>2548.1999999999998</v>
      </c>
      <c r="S47" s="77">
        <f>VLOOKUP(N47,Humo!C:P,12,0)</f>
        <v>4761.2</v>
      </c>
      <c r="T47" s="77">
        <f>VLOOKUP(N47,Humo!C:P,14,0)</f>
        <v>2699.9</v>
      </c>
      <c r="U47" s="77">
        <f>IFERROR(VLOOKUP(N47,'2026 iyul humo'!A:D,4,0),"0")/1000</f>
        <v>1920.6</v>
      </c>
      <c r="V47" s="77"/>
      <c r="W47" s="77"/>
      <c r="X47" s="77"/>
      <c r="Y47" s="77"/>
      <c r="Z47" s="77"/>
      <c r="AA47" s="162">
        <f t="shared" si="0"/>
        <v>20943.600000000002</v>
      </c>
      <c r="AB47" s="162"/>
      <c r="AC47" s="162"/>
      <c r="AD47" s="71" t="s">
        <v>1538</v>
      </c>
      <c r="AE47" s="77">
        <v>62805331</v>
      </c>
    </row>
    <row r="48" spans="1:31" s="89" customFormat="1">
      <c r="A48" s="71" t="s">
        <v>73</v>
      </c>
      <c r="B48" s="72" t="s">
        <v>1757</v>
      </c>
      <c r="C48" s="69" t="s">
        <v>11</v>
      </c>
      <c r="D48" s="73" t="s">
        <v>1244</v>
      </c>
      <c r="E48" s="108" t="s">
        <v>370</v>
      </c>
      <c r="F48" s="79" t="s">
        <v>475</v>
      </c>
      <c r="G48" s="106" t="s">
        <v>522</v>
      </c>
      <c r="H48" s="99" t="s">
        <v>1773</v>
      </c>
      <c r="I48" s="67">
        <v>1848</v>
      </c>
      <c r="J48" s="79" t="s">
        <v>1035</v>
      </c>
      <c r="K48" s="79" t="s">
        <v>1058</v>
      </c>
      <c r="L48" s="79" t="s">
        <v>1088</v>
      </c>
      <c r="M48" s="79" t="s">
        <v>1091</v>
      </c>
      <c r="N48" s="109" t="s">
        <v>1092</v>
      </c>
      <c r="O48" s="76">
        <f>VLOOKUP(N48,Humo!C:P,4,0)</f>
        <v>11568.1</v>
      </c>
      <c r="P48" s="77">
        <f>VLOOKUP(N48,Humo!C:P,6,0)</f>
        <v>11892</v>
      </c>
      <c r="Q48" s="77">
        <f>VLOOKUP(N48,Humo!C:P,8,0)</f>
        <v>9695.6</v>
      </c>
      <c r="R48" s="77">
        <f>VLOOKUP(N48,Humo!C:P,10,0)</f>
        <v>7634.7</v>
      </c>
      <c r="S48" s="77">
        <f>VLOOKUP(N48,Humo!C:P,12,0)</f>
        <v>13685.8</v>
      </c>
      <c r="T48" s="77">
        <f>VLOOKUP(N48,Humo!C:P,14,0)</f>
        <v>13797.7</v>
      </c>
      <c r="U48" s="77">
        <f>IFERROR(VLOOKUP(N48,'2026 iyul humo'!A:D,4,0),"0")/1000</f>
        <v>18811.75</v>
      </c>
      <c r="V48" s="77"/>
      <c r="W48" s="77"/>
      <c r="X48" s="77"/>
      <c r="Y48" s="77"/>
      <c r="Z48" s="77"/>
      <c r="AA48" s="162">
        <f t="shared" si="0"/>
        <v>87085.65</v>
      </c>
      <c r="AB48" s="162"/>
      <c r="AC48" s="162"/>
      <c r="AD48" s="79" t="s">
        <v>1543</v>
      </c>
      <c r="AE48" s="88">
        <v>105827950</v>
      </c>
    </row>
    <row r="49" spans="1:31">
      <c r="A49" s="71" t="s">
        <v>74</v>
      </c>
      <c r="B49" s="72" t="s">
        <v>1757</v>
      </c>
      <c r="C49" s="68" t="s">
        <v>11</v>
      </c>
      <c r="D49" s="73" t="s">
        <v>1244</v>
      </c>
      <c r="E49" s="105" t="s">
        <v>381</v>
      </c>
      <c r="F49" s="93" t="s">
        <v>382</v>
      </c>
      <c r="G49" s="94" t="s">
        <v>491</v>
      </c>
      <c r="H49" s="94"/>
      <c r="I49" s="94"/>
      <c r="J49" s="71">
        <v>718258</v>
      </c>
      <c r="K49" s="71" t="s">
        <v>1059</v>
      </c>
      <c r="L49" s="71" t="s">
        <v>1088</v>
      </c>
      <c r="M49" s="71" t="s">
        <v>1093</v>
      </c>
      <c r="N49" s="75" t="s">
        <v>1093</v>
      </c>
      <c r="O49" s="76">
        <f>IFERROR(VLOOKUP(N49,'2026 yanvar vash'!A:D,4,0),"0")/1000</f>
        <v>0</v>
      </c>
      <c r="P49" s="173">
        <f>IFERROR(VLOOKUP(N49,'2026 fevral vash'!A:D,4,0),"0")/1000</f>
        <v>0</v>
      </c>
      <c r="Q49" s="173">
        <f>IFERROR(VLOOKUP(N49,'2026 mart vash'!A:D,4,0),"0")/1000</f>
        <v>0</v>
      </c>
      <c r="R49" s="173">
        <f>IFERROR(VLOOKUP(N49,'2026 aprel vash'!A:D,4,0),"0")/1000</f>
        <v>0</v>
      </c>
      <c r="S49" s="173">
        <f>IFERROR(VLOOKUP(N49,'2026 may vash'!A:D,4,0),"0")/1000</f>
        <v>0</v>
      </c>
      <c r="T49" s="173">
        <f>IFERROR(VLOOKUP(N49,'2026 iyun vash'!A:D,4,0),"0")/1000</f>
        <v>0</v>
      </c>
      <c r="U49" s="173">
        <f>IFERROR(VLOOKUP(N49,'2026 iyul vash'!A:D,4,0),"0")/1000</f>
        <v>0</v>
      </c>
      <c r="V49" s="173"/>
      <c r="W49" s="173"/>
      <c r="X49" s="173"/>
      <c r="Y49" s="173"/>
      <c r="Z49" s="173"/>
      <c r="AA49" s="162">
        <f t="shared" si="0"/>
        <v>0</v>
      </c>
      <c r="AB49" s="162"/>
      <c r="AC49" s="162"/>
      <c r="AD49" s="71" t="s">
        <v>1541</v>
      </c>
      <c r="AE49" s="77">
        <v>171904842.81999999</v>
      </c>
    </row>
    <row r="50" spans="1:31">
      <c r="A50" s="71" t="s">
        <v>75</v>
      </c>
      <c r="B50" s="72" t="s">
        <v>1757</v>
      </c>
      <c r="C50" s="68" t="s">
        <v>11</v>
      </c>
      <c r="D50" s="107" t="s">
        <v>1013</v>
      </c>
      <c r="E50" s="105" t="s">
        <v>364</v>
      </c>
      <c r="F50" s="106" t="s">
        <v>475</v>
      </c>
      <c r="G50" s="107" t="s">
        <v>522</v>
      </c>
      <c r="H50" s="90" t="s">
        <v>1780</v>
      </c>
      <c r="I50" s="67">
        <v>1128.7</v>
      </c>
      <c r="J50" s="71" t="s">
        <v>1022</v>
      </c>
      <c r="K50" s="71" t="s">
        <v>1040</v>
      </c>
      <c r="L50" s="71" t="s">
        <v>1067</v>
      </c>
      <c r="M50" s="71">
        <v>901120495</v>
      </c>
      <c r="N50" s="75">
        <v>21376</v>
      </c>
      <c r="O50" s="76">
        <f>VLOOKUP(N50,Uzcard!C:P,4,0)</f>
        <v>22640.3</v>
      </c>
      <c r="P50" s="76">
        <f>VLOOKUP(N50,Uzcard!C:P,6,0)</f>
        <v>20593.349999999999</v>
      </c>
      <c r="Q50" s="76">
        <f>VLOOKUP(N50,Uzcard!C:P,8,0)</f>
        <v>24149.8</v>
      </c>
      <c r="R50" s="76">
        <f>VLOOKUP(N50,Uzcard!C:P,10,0)</f>
        <v>11887.7</v>
      </c>
      <c r="S50" s="76">
        <f>VLOOKUP(N50,Uzcard!C:P,12,0)</f>
        <v>24677.25</v>
      </c>
      <c r="T50" s="76">
        <f>VLOOKUP(N50,Uzcard!C:P,14,0)</f>
        <v>28410.65</v>
      </c>
      <c r="U50" s="172">
        <f>IFERROR(VLOOKUP(N50,'2026 iyul uzcard'!A:D,3,0),"0")/1000</f>
        <v>32592.5</v>
      </c>
      <c r="V50" s="172"/>
      <c r="W50" s="172"/>
      <c r="X50" s="172"/>
      <c r="Y50" s="172"/>
      <c r="Z50" s="172"/>
      <c r="AA50" s="162">
        <f t="shared" si="0"/>
        <v>164951.54999999999</v>
      </c>
      <c r="AB50" s="162"/>
      <c r="AC50" s="162"/>
      <c r="AD50" s="71" t="s">
        <v>1546</v>
      </c>
      <c r="AE50" s="77">
        <v>131315497</v>
      </c>
    </row>
    <row r="51" spans="1:31" s="89" customFormat="1">
      <c r="A51" s="71" t="s">
        <v>76</v>
      </c>
      <c r="B51" s="72" t="s">
        <v>1757</v>
      </c>
      <c r="C51" s="69" t="s">
        <v>11</v>
      </c>
      <c r="D51" s="107" t="s">
        <v>1013</v>
      </c>
      <c r="E51" s="108" t="s">
        <v>370</v>
      </c>
      <c r="F51" s="79" t="s">
        <v>475</v>
      </c>
      <c r="G51" s="106" t="s">
        <v>522</v>
      </c>
      <c r="H51" s="99" t="s">
        <v>1773</v>
      </c>
      <c r="I51" s="67">
        <v>1848</v>
      </c>
      <c r="J51" s="79" t="s">
        <v>1023</v>
      </c>
      <c r="K51" s="79" t="s">
        <v>1041</v>
      </c>
      <c r="L51" s="79" t="s">
        <v>1067</v>
      </c>
      <c r="M51" s="79" t="s">
        <v>1068</v>
      </c>
      <c r="N51" s="109" t="s">
        <v>1069</v>
      </c>
      <c r="O51" s="76">
        <f>VLOOKUP(N51,Humo!C:P,4,0)</f>
        <v>9806</v>
      </c>
      <c r="P51" s="77">
        <f>VLOOKUP(N51,Humo!C:P,6,0)</f>
        <v>8613.9</v>
      </c>
      <c r="Q51" s="77">
        <f>VLOOKUP(N51,Humo!C:P,8,0)</f>
        <v>11088.2</v>
      </c>
      <c r="R51" s="77">
        <f>VLOOKUP(N51,Humo!C:P,10,0)</f>
        <v>10329.1</v>
      </c>
      <c r="S51" s="77">
        <f>VLOOKUP(N51,Humo!C:P,12,0)</f>
        <v>20231.5</v>
      </c>
      <c r="T51" s="77">
        <f>VLOOKUP(N51,Humo!C:P,14,0)</f>
        <v>15909.6</v>
      </c>
      <c r="U51" s="77">
        <f>IFERROR(VLOOKUP(N51,'2026 iyul humo'!A:D,4,0),"0")/1000</f>
        <v>21016.2</v>
      </c>
      <c r="V51" s="77"/>
      <c r="W51" s="77"/>
      <c r="X51" s="77"/>
      <c r="Y51" s="77"/>
      <c r="Z51" s="77"/>
      <c r="AA51" s="162">
        <f t="shared" si="0"/>
        <v>96994.5</v>
      </c>
      <c r="AB51" s="162"/>
      <c r="AC51" s="162"/>
      <c r="AD51" s="79" t="s">
        <v>1517</v>
      </c>
      <c r="AE51" s="88">
        <v>105827950</v>
      </c>
    </row>
    <row r="52" spans="1:31">
      <c r="A52" s="71" t="s">
        <v>77</v>
      </c>
      <c r="B52" s="72" t="s">
        <v>1757</v>
      </c>
      <c r="C52" s="68" t="s">
        <v>11</v>
      </c>
      <c r="D52" s="107" t="s">
        <v>1013</v>
      </c>
      <c r="E52" s="105" t="s">
        <v>364</v>
      </c>
      <c r="F52" s="79" t="s">
        <v>475</v>
      </c>
      <c r="G52" s="107" t="s">
        <v>522</v>
      </c>
      <c r="H52" s="107"/>
      <c r="I52" s="107"/>
      <c r="J52" s="71" t="s">
        <v>1024</v>
      </c>
      <c r="K52" s="71" t="s">
        <v>1042</v>
      </c>
      <c r="L52" s="71" t="s">
        <v>1067</v>
      </c>
      <c r="M52" s="71">
        <v>901126642</v>
      </c>
      <c r="N52" s="75">
        <v>27732</v>
      </c>
      <c r="O52" s="76">
        <f>VLOOKUP(N52,Uzcard!C:P,4,0)</f>
        <v>13152.5</v>
      </c>
      <c r="P52" s="76">
        <f>VLOOKUP(N52,Uzcard!C:P,6,0)</f>
        <v>13897.7</v>
      </c>
      <c r="Q52" s="76">
        <f>VLOOKUP(N52,Uzcard!C:P,8,0)</f>
        <v>11837.25</v>
      </c>
      <c r="R52" s="76">
        <f>VLOOKUP(N52,Uzcard!C:P,10,0)</f>
        <v>11698.1</v>
      </c>
      <c r="S52" s="76">
        <f>VLOOKUP(N52,Uzcard!C:P,12,0)</f>
        <v>17963.25</v>
      </c>
      <c r="T52" s="76">
        <f>VLOOKUP(N52,Uzcard!C:P,14,0)</f>
        <v>9374.5499999999993</v>
      </c>
      <c r="U52" s="172">
        <f>IFERROR(VLOOKUP(N52,'2026 iyul uzcard'!A:D,3,0),"0")/1000</f>
        <v>1111.5</v>
      </c>
      <c r="V52" s="172"/>
      <c r="W52" s="172"/>
      <c r="X52" s="172"/>
      <c r="Y52" s="172"/>
      <c r="Z52" s="172"/>
      <c r="AA52" s="162">
        <f t="shared" si="0"/>
        <v>79034.849999999991</v>
      </c>
      <c r="AB52" s="162"/>
      <c r="AC52" s="162"/>
      <c r="AD52" s="71" t="s">
        <v>1543</v>
      </c>
      <c r="AE52" s="77">
        <v>105827950</v>
      </c>
    </row>
    <row r="53" spans="1:31">
      <c r="A53" s="71" t="s">
        <v>78</v>
      </c>
      <c r="B53" s="72" t="s">
        <v>1757</v>
      </c>
      <c r="C53" s="68" t="s">
        <v>11</v>
      </c>
      <c r="D53" s="107" t="s">
        <v>1014</v>
      </c>
      <c r="E53" s="105" t="s">
        <v>364</v>
      </c>
      <c r="F53" s="79" t="s">
        <v>475</v>
      </c>
      <c r="G53" s="107" t="s">
        <v>522</v>
      </c>
      <c r="H53" s="90" t="s">
        <v>1780</v>
      </c>
      <c r="I53" s="67">
        <v>1128.7</v>
      </c>
      <c r="J53" s="71" t="s">
        <v>1025</v>
      </c>
      <c r="K53" s="71" t="s">
        <v>1043</v>
      </c>
      <c r="L53" s="71" t="s">
        <v>1070</v>
      </c>
      <c r="M53" s="71">
        <v>901120494</v>
      </c>
      <c r="N53" s="75">
        <v>21375</v>
      </c>
      <c r="O53" s="76">
        <f>VLOOKUP(N53,Uzcard!C:P,4,0)</f>
        <v>16404.3</v>
      </c>
      <c r="P53" s="76">
        <f>VLOOKUP(N53,Uzcard!C:P,6,0)</f>
        <v>13465.55</v>
      </c>
      <c r="Q53" s="76">
        <f>VLOOKUP(N53,Uzcard!C:P,8,0)</f>
        <v>11040.85</v>
      </c>
      <c r="R53" s="76">
        <f>VLOOKUP(N53,Uzcard!C:P,10,0)</f>
        <v>8299.35</v>
      </c>
      <c r="S53" s="76">
        <f>VLOOKUP(N53,Uzcard!C:P,12,0)</f>
        <v>7843.05</v>
      </c>
      <c r="T53" s="76">
        <f>VLOOKUP(N53,Uzcard!C:P,14,0)</f>
        <v>8222.35</v>
      </c>
      <c r="U53" s="172">
        <f>IFERROR(VLOOKUP(N53,'2026 iyul uzcard'!A:D,3,0),"0")/1000</f>
        <v>6422.5</v>
      </c>
      <c r="V53" s="172"/>
      <c r="W53" s="172"/>
      <c r="X53" s="172"/>
      <c r="Y53" s="172"/>
      <c r="Z53" s="172"/>
      <c r="AA53" s="162">
        <f t="shared" si="0"/>
        <v>71697.95</v>
      </c>
      <c r="AB53" s="162"/>
      <c r="AC53" s="162"/>
      <c r="AD53" s="71" t="s">
        <v>1546</v>
      </c>
      <c r="AE53" s="77">
        <v>131315497</v>
      </c>
    </row>
    <row r="54" spans="1:31" s="89" customFormat="1">
      <c r="A54" s="71" t="s">
        <v>79</v>
      </c>
      <c r="B54" s="72" t="s">
        <v>1757</v>
      </c>
      <c r="C54" s="69" t="s">
        <v>11</v>
      </c>
      <c r="D54" s="107" t="s">
        <v>1014</v>
      </c>
      <c r="E54" s="108" t="s">
        <v>370</v>
      </c>
      <c r="F54" s="79" t="s">
        <v>475</v>
      </c>
      <c r="G54" s="106" t="s">
        <v>522</v>
      </c>
      <c r="H54" s="99" t="s">
        <v>1773</v>
      </c>
      <c r="I54" s="67">
        <v>1848</v>
      </c>
      <c r="J54" s="79" t="s">
        <v>1026</v>
      </c>
      <c r="K54" s="79" t="s">
        <v>1044</v>
      </c>
      <c r="L54" s="79" t="s">
        <v>1070</v>
      </c>
      <c r="M54" s="79" t="s">
        <v>1071</v>
      </c>
      <c r="N54" s="109" t="s">
        <v>1072</v>
      </c>
      <c r="O54" s="76">
        <f>VLOOKUP(N54,Humo!C:P,4,0)</f>
        <v>7266.9</v>
      </c>
      <c r="P54" s="77">
        <f>VLOOKUP(N54,Humo!C:P,6,0)</f>
        <v>5400.7</v>
      </c>
      <c r="Q54" s="77">
        <f>VLOOKUP(N54,Humo!C:P,8,0)</f>
        <v>16943.400000000001</v>
      </c>
      <c r="R54" s="77">
        <f>VLOOKUP(N54,Humo!C:P,10,0)</f>
        <v>8914.7000000000007</v>
      </c>
      <c r="S54" s="77">
        <f>VLOOKUP(N54,Humo!C:P,12,0)</f>
        <v>8898.4</v>
      </c>
      <c r="T54" s="77">
        <f>VLOOKUP(N54,Humo!C:P,14,0)</f>
        <v>15822.4</v>
      </c>
      <c r="U54" s="77">
        <f>IFERROR(VLOOKUP(N54,'2026 iyul humo'!A:D,4,0),"0")/1000</f>
        <v>7935.4</v>
      </c>
      <c r="V54" s="77"/>
      <c r="W54" s="77"/>
      <c r="X54" s="77"/>
      <c r="Y54" s="77"/>
      <c r="Z54" s="77"/>
      <c r="AA54" s="162">
        <f t="shared" si="0"/>
        <v>71181.899999999994</v>
      </c>
      <c r="AB54" s="162"/>
      <c r="AC54" s="162"/>
      <c r="AD54" s="79" t="s">
        <v>1517</v>
      </c>
      <c r="AE54" s="88">
        <v>105827950</v>
      </c>
    </row>
    <row r="55" spans="1:31">
      <c r="A55" s="71" t="s">
        <v>80</v>
      </c>
      <c r="B55" s="72" t="s">
        <v>1757</v>
      </c>
      <c r="C55" s="68" t="s">
        <v>11</v>
      </c>
      <c r="D55" s="107" t="s">
        <v>1015</v>
      </c>
      <c r="E55" s="105" t="s">
        <v>364</v>
      </c>
      <c r="F55" s="79" t="s">
        <v>474</v>
      </c>
      <c r="G55" s="107" t="s">
        <v>522</v>
      </c>
      <c r="H55" s="107"/>
      <c r="I55" s="107"/>
      <c r="J55" s="71" t="s">
        <v>1027</v>
      </c>
      <c r="K55" s="71" t="s">
        <v>1045</v>
      </c>
      <c r="L55" s="71" t="s">
        <v>1073</v>
      </c>
      <c r="M55" s="71">
        <v>901117477</v>
      </c>
      <c r="N55" s="75">
        <v>18291</v>
      </c>
      <c r="O55" s="76">
        <f>VLOOKUP(N55,Uzcard!C:P,4,0)</f>
        <v>6124.2</v>
      </c>
      <c r="P55" s="76">
        <f>VLOOKUP(N55,Uzcard!C:P,6,0)</f>
        <v>5784.95</v>
      </c>
      <c r="Q55" s="76">
        <f>VLOOKUP(N55,Uzcard!C:P,8,0)</f>
        <v>5476.65</v>
      </c>
      <c r="R55" s="76">
        <f>VLOOKUP(N55,Uzcard!C:P,10,0)</f>
        <v>4181.8</v>
      </c>
      <c r="S55" s="76">
        <f>VLOOKUP(N55,Uzcard!C:P,12,0)</f>
        <v>7441.95</v>
      </c>
      <c r="T55" s="76">
        <f>VLOOKUP(N55,Uzcard!C:P,14,0)</f>
        <v>5185</v>
      </c>
      <c r="U55" s="172">
        <f>IFERROR(VLOOKUP(N55,'2026 iyul uzcard'!A:D,3,0),"0")/1000</f>
        <v>6308.85</v>
      </c>
      <c r="V55" s="172"/>
      <c r="W55" s="172"/>
      <c r="X55" s="172"/>
      <c r="Y55" s="172"/>
      <c r="Z55" s="172"/>
      <c r="AA55" s="162">
        <f t="shared" si="0"/>
        <v>40503.4</v>
      </c>
      <c r="AB55" s="162"/>
      <c r="AC55" s="162"/>
      <c r="AD55" s="71" t="s">
        <v>1547</v>
      </c>
      <c r="AE55" s="77">
        <v>106507213.69</v>
      </c>
    </row>
    <row r="56" spans="1:31">
      <c r="A56" s="71" t="s">
        <v>81</v>
      </c>
      <c r="B56" s="72" t="s">
        <v>1757</v>
      </c>
      <c r="C56" s="68" t="s">
        <v>11</v>
      </c>
      <c r="D56" s="107" t="s">
        <v>1015</v>
      </c>
      <c r="E56" s="105" t="s">
        <v>370</v>
      </c>
      <c r="F56" s="95" t="s">
        <v>371</v>
      </c>
      <c r="G56" s="107" t="s">
        <v>522</v>
      </c>
      <c r="H56" s="98" t="s">
        <v>1773</v>
      </c>
      <c r="I56" s="67">
        <v>1848</v>
      </c>
      <c r="J56" s="71">
        <v>5310177703</v>
      </c>
      <c r="K56" s="71" t="s">
        <v>1046</v>
      </c>
      <c r="L56" s="71" t="s">
        <v>1073</v>
      </c>
      <c r="M56" s="71" t="s">
        <v>1074</v>
      </c>
      <c r="N56" s="75" t="s">
        <v>1075</v>
      </c>
      <c r="O56" s="76">
        <f>VLOOKUP(N56,Humo!C:P,4,0)</f>
        <v>6226.3</v>
      </c>
      <c r="P56" s="77">
        <f>VLOOKUP(N56,Humo!C:P,6,0)</f>
        <v>6329.5</v>
      </c>
      <c r="Q56" s="77">
        <f>VLOOKUP(N56,Humo!C:P,8,0)</f>
        <v>6233</v>
      </c>
      <c r="R56" s="77">
        <f>VLOOKUP(N56,Humo!C:P,10,0)</f>
        <v>3217.9</v>
      </c>
      <c r="S56" s="77">
        <f>VLOOKUP(N56,Humo!C:P,12,0)</f>
        <v>9928.5</v>
      </c>
      <c r="T56" s="77">
        <f>VLOOKUP(N56,Humo!C:P,14,0)</f>
        <v>5982.2</v>
      </c>
      <c r="U56" s="77">
        <f>IFERROR(VLOOKUP(N56,'2026 iyul humo'!A:D,4,0),"0")/1000</f>
        <v>10401.200000000001</v>
      </c>
      <c r="V56" s="77"/>
      <c r="W56" s="77"/>
      <c r="X56" s="77"/>
      <c r="Y56" s="77"/>
      <c r="Z56" s="77"/>
      <c r="AA56" s="162">
        <f t="shared" si="0"/>
        <v>48318.600000000006</v>
      </c>
      <c r="AB56" s="162"/>
      <c r="AC56" s="162"/>
      <c r="AD56" s="71" t="s">
        <v>1537</v>
      </c>
      <c r="AE56" s="77">
        <v>62805331</v>
      </c>
    </row>
    <row r="57" spans="1:31">
      <c r="A57" s="71" t="s">
        <v>82</v>
      </c>
      <c r="B57" s="72" t="s">
        <v>1757</v>
      </c>
      <c r="C57" s="68" t="s">
        <v>11</v>
      </c>
      <c r="D57" s="107" t="s">
        <v>1015</v>
      </c>
      <c r="E57" s="105" t="s">
        <v>381</v>
      </c>
      <c r="F57" s="93" t="s">
        <v>382</v>
      </c>
      <c r="G57" s="94" t="s">
        <v>491</v>
      </c>
      <c r="H57" s="94"/>
      <c r="I57" s="94"/>
      <c r="J57" s="71">
        <v>519339</v>
      </c>
      <c r="K57" s="71" t="s">
        <v>1047</v>
      </c>
      <c r="L57" s="71" t="s">
        <v>1073</v>
      </c>
      <c r="M57" s="71" t="s">
        <v>1076</v>
      </c>
      <c r="N57" s="75" t="s">
        <v>1076</v>
      </c>
      <c r="O57" s="76">
        <f>IFERROR(VLOOKUP(N57,'2026 yanvar vash'!A:D,4,0),"0")/1000</f>
        <v>0</v>
      </c>
      <c r="P57" s="173">
        <f>IFERROR(VLOOKUP(N57,'2026 fevral vash'!A:D,4,0),"0")/1000</f>
        <v>0</v>
      </c>
      <c r="Q57" s="173">
        <f>IFERROR(VLOOKUP(N57,'2026 mart vash'!A:D,4,0),"0")/1000</f>
        <v>0</v>
      </c>
      <c r="R57" s="173">
        <f>IFERROR(VLOOKUP(N57,'2026 aprel vash'!A:D,4,0),"0")/1000</f>
        <v>0</v>
      </c>
      <c r="S57" s="173">
        <f>IFERROR(VLOOKUP(N57,'2026 may vash'!A:D,4,0),"0")/1000</f>
        <v>0</v>
      </c>
      <c r="T57" s="173">
        <f>IFERROR(VLOOKUP(N57,'2026 iyun vash'!A:D,4,0),"0")/1000</f>
        <v>0</v>
      </c>
      <c r="U57" s="173">
        <f>IFERROR(VLOOKUP(N57,'2026 iyul vash'!A:D,4,0),"0")/1000</f>
        <v>0</v>
      </c>
      <c r="V57" s="173"/>
      <c r="W57" s="173"/>
      <c r="X57" s="173"/>
      <c r="Y57" s="173"/>
      <c r="Z57" s="173"/>
      <c r="AA57" s="162">
        <f t="shared" si="0"/>
        <v>0</v>
      </c>
      <c r="AB57" s="162"/>
      <c r="AC57" s="162"/>
      <c r="AD57" s="71" t="s">
        <v>1538</v>
      </c>
      <c r="AE57" s="77">
        <v>216557286.44999999</v>
      </c>
    </row>
    <row r="58" spans="1:31">
      <c r="A58" s="71" t="s">
        <v>83</v>
      </c>
      <c r="B58" s="72" t="s">
        <v>1757</v>
      </c>
      <c r="C58" s="68" t="s">
        <v>11</v>
      </c>
      <c r="D58" s="107" t="s">
        <v>1016</v>
      </c>
      <c r="E58" s="105" t="s">
        <v>364</v>
      </c>
      <c r="F58" s="79" t="s">
        <v>474</v>
      </c>
      <c r="G58" s="107" t="s">
        <v>522</v>
      </c>
      <c r="H58" s="107"/>
      <c r="I58" s="107"/>
      <c r="J58" s="71" t="s">
        <v>1028</v>
      </c>
      <c r="K58" s="71" t="s">
        <v>1048</v>
      </c>
      <c r="L58" s="71" t="s">
        <v>1077</v>
      </c>
      <c r="M58" s="71">
        <v>901115125</v>
      </c>
      <c r="N58" s="75">
        <v>15896</v>
      </c>
      <c r="O58" s="76">
        <f>VLOOKUP(N58,Uzcard!C:P,4,0)</f>
        <v>9782.0499999999993</v>
      </c>
      <c r="P58" s="76">
        <f>VLOOKUP(N58,Uzcard!C:P,6,0)</f>
        <v>7132.1</v>
      </c>
      <c r="Q58" s="76">
        <f>VLOOKUP(N58,Uzcard!C:P,8,0)</f>
        <v>6548.65</v>
      </c>
      <c r="R58" s="76">
        <f>VLOOKUP(N58,Uzcard!C:P,10,0)</f>
        <v>6175.75</v>
      </c>
      <c r="S58" s="76">
        <f>VLOOKUP(N58,Uzcard!C:P,12,0)</f>
        <v>7947</v>
      </c>
      <c r="T58" s="76">
        <f>VLOOKUP(N58,Uzcard!C:P,14,0)</f>
        <v>6899.15</v>
      </c>
      <c r="U58" s="172">
        <f>IFERROR(VLOOKUP(N58,'2026 iyul uzcard'!A:D,3,0),"0")/1000</f>
        <v>8626</v>
      </c>
      <c r="V58" s="172"/>
      <c r="W58" s="172"/>
      <c r="X58" s="172"/>
      <c r="Y58" s="172"/>
      <c r="Z58" s="172"/>
      <c r="AA58" s="162">
        <f t="shared" si="0"/>
        <v>53110.700000000004</v>
      </c>
      <c r="AB58" s="162"/>
      <c r="AC58" s="162"/>
      <c r="AD58" s="71" t="s">
        <v>1545</v>
      </c>
      <c r="AE58" s="77">
        <v>106507213.69</v>
      </c>
    </row>
    <row r="59" spans="1:31">
      <c r="A59" s="71" t="s">
        <v>84</v>
      </c>
      <c r="B59" s="72" t="s">
        <v>1757</v>
      </c>
      <c r="C59" s="68" t="s">
        <v>11</v>
      </c>
      <c r="D59" s="107" t="s">
        <v>1016</v>
      </c>
      <c r="E59" s="105" t="s">
        <v>370</v>
      </c>
      <c r="F59" s="95" t="s">
        <v>371</v>
      </c>
      <c r="G59" s="107" t="s">
        <v>522</v>
      </c>
      <c r="H59" s="98" t="s">
        <v>1773</v>
      </c>
      <c r="I59" s="67">
        <v>1848</v>
      </c>
      <c r="J59" s="71">
        <v>5310178102</v>
      </c>
      <c r="K59" s="71" t="s">
        <v>1049</v>
      </c>
      <c r="L59" s="71" t="s">
        <v>1077</v>
      </c>
      <c r="M59" s="71" t="s">
        <v>1078</v>
      </c>
      <c r="N59" s="75" t="s">
        <v>1079</v>
      </c>
      <c r="O59" s="76">
        <f>VLOOKUP(N59,Humo!C:P,4,0)</f>
        <v>1134.2</v>
      </c>
      <c r="P59" s="77">
        <f>VLOOKUP(N59,Humo!C:P,6,0)</f>
        <v>3319</v>
      </c>
      <c r="Q59" s="77">
        <f>VLOOKUP(N59,Humo!C:P,8,0)</f>
        <v>5367.5</v>
      </c>
      <c r="R59" s="77">
        <f>VLOOKUP(N59,Humo!C:P,10,0)</f>
        <v>1028</v>
      </c>
      <c r="S59" s="77">
        <f>VLOOKUP(N59,Humo!C:P,12,0)</f>
        <v>7284.2</v>
      </c>
      <c r="T59" s="77">
        <f>VLOOKUP(N59,Humo!C:P,14,0)</f>
        <v>4078.2</v>
      </c>
      <c r="U59" s="77">
        <f>IFERROR(VLOOKUP(N59,'2026 iyul humo'!A:D,4,0),"0")/1000</f>
        <v>6012.3</v>
      </c>
      <c r="V59" s="77"/>
      <c r="W59" s="77"/>
      <c r="X59" s="77"/>
      <c r="Y59" s="77"/>
      <c r="Z59" s="77"/>
      <c r="AA59" s="162">
        <f t="shared" si="0"/>
        <v>28223.4</v>
      </c>
      <c r="AB59" s="162"/>
      <c r="AC59" s="162"/>
      <c r="AD59" s="71" t="s">
        <v>1538</v>
      </c>
      <c r="AE59" s="77">
        <v>62805331</v>
      </c>
    </row>
    <row r="60" spans="1:31">
      <c r="A60" s="71" t="s">
        <v>85</v>
      </c>
      <c r="B60" s="72" t="s">
        <v>1757</v>
      </c>
      <c r="C60" s="68" t="s">
        <v>11</v>
      </c>
      <c r="D60" s="107" t="s">
        <v>1017</v>
      </c>
      <c r="E60" s="105" t="s">
        <v>364</v>
      </c>
      <c r="F60" s="79" t="s">
        <v>475</v>
      </c>
      <c r="G60" s="107" t="s">
        <v>522</v>
      </c>
      <c r="H60" s="90" t="s">
        <v>1780</v>
      </c>
      <c r="I60" s="67">
        <v>1128.7</v>
      </c>
      <c r="J60" s="71" t="s">
        <v>1029</v>
      </c>
      <c r="K60" s="71" t="s">
        <v>1050</v>
      </c>
      <c r="L60" s="71" t="s">
        <v>1080</v>
      </c>
      <c r="M60" s="71">
        <v>901120496</v>
      </c>
      <c r="N60" s="75">
        <v>21377</v>
      </c>
      <c r="O60" s="76">
        <f>VLOOKUP(N60,Uzcard!C:P,4,0)</f>
        <v>5826.05</v>
      </c>
      <c r="P60" s="76">
        <f>VLOOKUP(N60,Uzcard!C:P,6,0)</f>
        <v>7260.25</v>
      </c>
      <c r="Q60" s="76">
        <f>VLOOKUP(N60,Uzcard!C:P,8,0)</f>
        <v>6319.8</v>
      </c>
      <c r="R60" s="76">
        <f>VLOOKUP(N60,Uzcard!C:P,10,0)</f>
        <v>3292.95</v>
      </c>
      <c r="S60" s="76">
        <f>VLOOKUP(N60,Uzcard!C:P,12,0)</f>
        <v>5995.9</v>
      </c>
      <c r="T60" s="76">
        <f>VLOOKUP(N60,Uzcard!C:P,14,0)</f>
        <v>5996.05</v>
      </c>
      <c r="U60" s="172">
        <f>IFERROR(VLOOKUP(N60,'2026 iyul uzcard'!A:D,3,0),"0")/1000</f>
        <v>6144.35</v>
      </c>
      <c r="V60" s="172"/>
      <c r="W60" s="172"/>
      <c r="X60" s="172"/>
      <c r="Y60" s="172"/>
      <c r="Z60" s="172"/>
      <c r="AA60" s="162">
        <f t="shared" si="0"/>
        <v>40835.35</v>
      </c>
      <c r="AB60" s="162"/>
      <c r="AC60" s="162"/>
      <c r="AD60" s="71" t="s">
        <v>1546</v>
      </c>
      <c r="AE60" s="77">
        <v>131315497</v>
      </c>
    </row>
    <row r="61" spans="1:31" s="89" customFormat="1">
      <c r="A61" s="71" t="s">
        <v>86</v>
      </c>
      <c r="B61" s="72" t="s">
        <v>1757</v>
      </c>
      <c r="C61" s="69" t="s">
        <v>11</v>
      </c>
      <c r="D61" s="107" t="s">
        <v>1017</v>
      </c>
      <c r="E61" s="108" t="s">
        <v>370</v>
      </c>
      <c r="F61" s="79" t="s">
        <v>475</v>
      </c>
      <c r="G61" s="106" t="s">
        <v>522</v>
      </c>
      <c r="H61" s="99" t="s">
        <v>1773</v>
      </c>
      <c r="I61" s="67">
        <v>1848</v>
      </c>
      <c r="J61" s="79" t="s">
        <v>1030</v>
      </c>
      <c r="K61" s="79" t="s">
        <v>1051</v>
      </c>
      <c r="L61" s="79" t="s">
        <v>1080</v>
      </c>
      <c r="M61" s="79" t="s">
        <v>1081</v>
      </c>
      <c r="N61" s="109" t="s">
        <v>1082</v>
      </c>
      <c r="O61" s="76">
        <f>VLOOKUP(N61,Humo!C:P,4,0)</f>
        <v>4818.7</v>
      </c>
      <c r="P61" s="77">
        <f>VLOOKUP(N61,Humo!C:P,6,0)</f>
        <v>2455.8000000000002</v>
      </c>
      <c r="Q61" s="77">
        <f>VLOOKUP(N61,Humo!C:P,8,0)</f>
        <v>4852</v>
      </c>
      <c r="R61" s="77">
        <f>VLOOKUP(N61,Humo!C:P,10,0)</f>
        <v>3832.5</v>
      </c>
      <c r="S61" s="77">
        <f>VLOOKUP(N61,Humo!C:P,12,0)</f>
        <v>5420.9</v>
      </c>
      <c r="T61" s="77">
        <f>VLOOKUP(N61,Humo!C:P,14,0)</f>
        <v>5206.8</v>
      </c>
      <c r="U61" s="77">
        <f>IFERROR(VLOOKUP(N61,'2026 iyul humo'!A:D,4,0),"0")/1000</f>
        <v>7498.25</v>
      </c>
      <c r="V61" s="77"/>
      <c r="W61" s="77"/>
      <c r="X61" s="77"/>
      <c r="Y61" s="77"/>
      <c r="Z61" s="77"/>
      <c r="AA61" s="162">
        <f t="shared" si="0"/>
        <v>34084.949999999997</v>
      </c>
      <c r="AB61" s="162"/>
      <c r="AC61" s="162"/>
      <c r="AD61" s="79" t="s">
        <v>1517</v>
      </c>
      <c r="AE61" s="88">
        <v>105827950</v>
      </c>
    </row>
    <row r="62" spans="1:31">
      <c r="A62" s="71" t="s">
        <v>87</v>
      </c>
      <c r="B62" s="72" t="s">
        <v>1757</v>
      </c>
      <c r="C62" s="68" t="s">
        <v>11</v>
      </c>
      <c r="D62" s="107" t="s">
        <v>1017</v>
      </c>
      <c r="E62" s="105" t="s">
        <v>381</v>
      </c>
      <c r="F62" s="93" t="s">
        <v>382</v>
      </c>
      <c r="G62" s="94" t="s">
        <v>491</v>
      </c>
      <c r="H62" s="94"/>
      <c r="I62" s="94"/>
      <c r="J62" s="71">
        <v>2619353</v>
      </c>
      <c r="K62" s="71" t="s">
        <v>1052</v>
      </c>
      <c r="L62" s="71" t="s">
        <v>1080</v>
      </c>
      <c r="M62" s="71" t="s">
        <v>1083</v>
      </c>
      <c r="N62" s="75" t="s">
        <v>1083</v>
      </c>
      <c r="O62" s="76">
        <f>IFERROR(VLOOKUP(N62,'2026 yanvar vash'!A:D,4,0),"0")/1000</f>
        <v>0</v>
      </c>
      <c r="P62" s="173">
        <f>IFERROR(VLOOKUP(N62,'2026 fevral vash'!A:D,4,0),"0")/1000</f>
        <v>0</v>
      </c>
      <c r="Q62" s="173">
        <f>IFERROR(VLOOKUP(N62,'2026 mart vash'!A:D,4,0),"0")/1000</f>
        <v>0</v>
      </c>
      <c r="R62" s="173">
        <f>IFERROR(VLOOKUP(N62,'2026 aprel vash'!A:D,4,0),"0")/1000</f>
        <v>0</v>
      </c>
      <c r="S62" s="173">
        <f>IFERROR(VLOOKUP(N62,'2026 may vash'!A:D,4,0),"0")/1000</f>
        <v>0</v>
      </c>
      <c r="T62" s="173">
        <f>IFERROR(VLOOKUP(N62,'2026 iyun vash'!A:D,4,0),"0")/1000</f>
        <v>0</v>
      </c>
      <c r="U62" s="173">
        <f>IFERROR(VLOOKUP(N62,'2026 iyul vash'!A:D,4,0),"0")/1000</f>
        <v>0</v>
      </c>
      <c r="V62" s="173"/>
      <c r="W62" s="173"/>
      <c r="X62" s="173"/>
      <c r="Y62" s="173"/>
      <c r="Z62" s="173"/>
      <c r="AA62" s="162">
        <f t="shared" si="0"/>
        <v>0</v>
      </c>
      <c r="AB62" s="162"/>
      <c r="AC62" s="162"/>
      <c r="AD62" s="71" t="s">
        <v>1540</v>
      </c>
      <c r="AE62" s="77">
        <v>216557286.44999999</v>
      </c>
    </row>
    <row r="63" spans="1:31">
      <c r="A63" s="71" t="s">
        <v>88</v>
      </c>
      <c r="B63" s="72" t="s">
        <v>1757</v>
      </c>
      <c r="C63" s="68" t="s">
        <v>11</v>
      </c>
      <c r="D63" s="107" t="s">
        <v>1018</v>
      </c>
      <c r="E63" s="110" t="s">
        <v>364</v>
      </c>
      <c r="F63" s="79" t="s">
        <v>474</v>
      </c>
      <c r="G63" s="107" t="s">
        <v>522</v>
      </c>
      <c r="H63" s="107"/>
      <c r="I63" s="107"/>
      <c r="J63" s="71" t="s">
        <v>1031</v>
      </c>
      <c r="K63" s="71" t="s">
        <v>1053</v>
      </c>
      <c r="L63" s="71" t="s">
        <v>1084</v>
      </c>
      <c r="M63" s="71">
        <v>901115563</v>
      </c>
      <c r="N63" s="75">
        <v>16336</v>
      </c>
      <c r="O63" s="76">
        <f>VLOOKUP(N63,Uzcard!C:P,4,0)</f>
        <v>11248.9</v>
      </c>
      <c r="P63" s="76">
        <f>VLOOKUP(N63,Uzcard!C:P,6,0)</f>
        <v>10611.7</v>
      </c>
      <c r="Q63" s="76">
        <f>VLOOKUP(N63,Uzcard!C:P,8,0)</f>
        <v>12649.15</v>
      </c>
      <c r="R63" s="76">
        <f>VLOOKUP(N63,Uzcard!C:P,10,0)</f>
        <v>9231.35</v>
      </c>
      <c r="S63" s="76">
        <f>VLOOKUP(N63,Uzcard!C:P,12,0)</f>
        <v>13509.15</v>
      </c>
      <c r="T63" s="76">
        <f>VLOOKUP(N63,Uzcard!C:P,14,0)</f>
        <v>10092.549999999999</v>
      </c>
      <c r="U63" s="172">
        <f>IFERROR(VLOOKUP(N63,'2026 iyul uzcard'!A:D,3,0),"0")/1000</f>
        <v>7299.35</v>
      </c>
      <c r="V63" s="172"/>
      <c r="W63" s="172"/>
      <c r="X63" s="172"/>
      <c r="Y63" s="172"/>
      <c r="Z63" s="172"/>
      <c r="AA63" s="162">
        <f t="shared" si="0"/>
        <v>74642.150000000009</v>
      </c>
      <c r="AB63" s="162"/>
      <c r="AC63" s="162"/>
      <c r="AD63" s="71" t="s">
        <v>1542</v>
      </c>
      <c r="AE63" s="77">
        <v>100458192.72</v>
      </c>
    </row>
    <row r="64" spans="1:31" s="89" customFormat="1">
      <c r="A64" s="71" t="s">
        <v>89</v>
      </c>
      <c r="B64" s="72" t="s">
        <v>1757</v>
      </c>
      <c r="C64" s="69" t="s">
        <v>11</v>
      </c>
      <c r="D64" s="107" t="s">
        <v>1018</v>
      </c>
      <c r="E64" s="111" t="s">
        <v>370</v>
      </c>
      <c r="F64" s="79" t="s">
        <v>475</v>
      </c>
      <c r="G64" s="106" t="s">
        <v>522</v>
      </c>
      <c r="H64" s="99" t="s">
        <v>1773</v>
      </c>
      <c r="I64" s="67">
        <v>1848</v>
      </c>
      <c r="J64" s="79" t="s">
        <v>1032</v>
      </c>
      <c r="K64" s="79" t="s">
        <v>1054</v>
      </c>
      <c r="L64" s="79" t="s">
        <v>1084</v>
      </c>
      <c r="M64" s="79" t="s">
        <v>1085</v>
      </c>
      <c r="N64" s="109" t="s">
        <v>1086</v>
      </c>
      <c r="O64" s="76">
        <f>VLOOKUP(N64,Humo!C:P,4,0)</f>
        <v>8111.2</v>
      </c>
      <c r="P64" s="77">
        <f>VLOOKUP(N64,Humo!C:P,6,0)</f>
        <v>9369.1</v>
      </c>
      <c r="Q64" s="77">
        <f>VLOOKUP(N64,Humo!C:P,8,0)</f>
        <v>12519.2</v>
      </c>
      <c r="R64" s="77">
        <f>VLOOKUP(N64,Humo!C:P,10,0)</f>
        <v>11802.2</v>
      </c>
      <c r="S64" s="77">
        <f>VLOOKUP(N64,Humo!C:P,12,0)</f>
        <v>10312.6</v>
      </c>
      <c r="T64" s="77">
        <f>VLOOKUP(N64,Humo!C:P,14,0)</f>
        <v>11808.2</v>
      </c>
      <c r="U64" s="77">
        <f>IFERROR(VLOOKUP(N64,'2026 iyul humo'!A:D,4,0),"0")/1000</f>
        <v>7255.3</v>
      </c>
      <c r="V64" s="77"/>
      <c r="W64" s="77"/>
      <c r="X64" s="77"/>
      <c r="Y64" s="77"/>
      <c r="Z64" s="77"/>
      <c r="AA64" s="162">
        <f t="shared" si="0"/>
        <v>71177.8</v>
      </c>
      <c r="AB64" s="162"/>
      <c r="AC64" s="162"/>
      <c r="AD64" s="79" t="s">
        <v>1517</v>
      </c>
      <c r="AE64" s="88">
        <v>105827950</v>
      </c>
    </row>
    <row r="65" spans="1:31">
      <c r="A65" s="71" t="s">
        <v>90</v>
      </c>
      <c r="B65" s="72" t="s">
        <v>1757</v>
      </c>
      <c r="C65" s="68" t="s">
        <v>11</v>
      </c>
      <c r="D65" s="107" t="s">
        <v>1019</v>
      </c>
      <c r="E65" s="110" t="s">
        <v>364</v>
      </c>
      <c r="F65" s="79" t="s">
        <v>475</v>
      </c>
      <c r="G65" s="107" t="s">
        <v>522</v>
      </c>
      <c r="H65" s="90" t="s">
        <v>1780</v>
      </c>
      <c r="I65" s="67">
        <v>1128.7</v>
      </c>
      <c r="J65" s="71" t="s">
        <v>1033</v>
      </c>
      <c r="K65" s="71" t="s">
        <v>1055</v>
      </c>
      <c r="L65" s="71" t="s">
        <v>1087</v>
      </c>
      <c r="M65" s="71">
        <v>901124709</v>
      </c>
      <c r="N65" s="75">
        <v>25729</v>
      </c>
      <c r="O65" s="76">
        <f>VLOOKUP(N65,Uzcard!C:P,4,0)</f>
        <v>8031.85</v>
      </c>
      <c r="P65" s="76">
        <f>VLOOKUP(N65,Uzcard!C:P,6,0)</f>
        <v>8247.85</v>
      </c>
      <c r="Q65" s="76">
        <f>VLOOKUP(N65,Uzcard!C:P,8,0)</f>
        <v>13019.2</v>
      </c>
      <c r="R65" s="76">
        <f>VLOOKUP(N65,Uzcard!C:P,10,0)</f>
        <v>6065.85</v>
      </c>
      <c r="S65" s="76">
        <f>VLOOKUP(N65,Uzcard!C:P,12,0)</f>
        <v>804.25</v>
      </c>
      <c r="T65" s="76">
        <f>VLOOKUP(N65,Uzcard!C:P,14,0)</f>
        <v>361.3</v>
      </c>
      <c r="U65" s="172">
        <f>IFERROR(VLOOKUP(N65,'2026 iyul uzcard'!A:D,3,0),"0")/1000</f>
        <v>757.9</v>
      </c>
      <c r="V65" s="172"/>
      <c r="W65" s="172"/>
      <c r="X65" s="172"/>
      <c r="Y65" s="172"/>
      <c r="Z65" s="172"/>
      <c r="AA65" s="162">
        <f t="shared" si="0"/>
        <v>37288.200000000004</v>
      </c>
      <c r="AB65" s="162"/>
      <c r="AC65" s="162"/>
      <c r="AD65" s="71" t="s">
        <v>1517</v>
      </c>
      <c r="AE65" s="77">
        <v>144808312</v>
      </c>
    </row>
    <row r="66" spans="1:31">
      <c r="A66" s="71" t="s">
        <v>91</v>
      </c>
      <c r="B66" s="72" t="s">
        <v>1757</v>
      </c>
      <c r="C66" s="68" t="s">
        <v>11</v>
      </c>
      <c r="D66" s="107" t="s">
        <v>1020</v>
      </c>
      <c r="E66" s="110" t="s">
        <v>381</v>
      </c>
      <c r="F66" s="93" t="s">
        <v>382</v>
      </c>
      <c r="G66" s="94" t="s">
        <v>491</v>
      </c>
      <c r="H66" s="94"/>
      <c r="I66" s="94"/>
      <c r="J66" s="71">
        <v>2318258</v>
      </c>
      <c r="K66" s="71" t="s">
        <v>1060</v>
      </c>
      <c r="L66" s="71" t="s">
        <v>1094</v>
      </c>
      <c r="M66" s="71" t="s">
        <v>1095</v>
      </c>
      <c r="N66" s="75" t="s">
        <v>1095</v>
      </c>
      <c r="O66" s="76">
        <f>IFERROR(VLOOKUP(N66,'2026 yanvar vash'!A:D,4,0),"0")/1000</f>
        <v>0</v>
      </c>
      <c r="P66" s="173">
        <f>IFERROR(VLOOKUP(N66,'2026 fevral vash'!A:D,4,0),"0")/1000</f>
        <v>0</v>
      </c>
      <c r="Q66" s="173">
        <f>IFERROR(VLOOKUP(N66,'2026 mart vash'!A:D,4,0),"0")/1000</f>
        <v>0</v>
      </c>
      <c r="R66" s="173">
        <f>IFERROR(VLOOKUP(N66,'2026 aprel vash'!A:D,4,0),"0")/1000</f>
        <v>0</v>
      </c>
      <c r="S66" s="173">
        <f>IFERROR(VLOOKUP(N66,'2026 may vash'!A:D,4,0),"0")/1000</f>
        <v>0</v>
      </c>
      <c r="T66" s="173">
        <f>IFERROR(VLOOKUP(N66,'2026 iyun vash'!A:D,4,0),"0")/1000</f>
        <v>0</v>
      </c>
      <c r="U66" s="173">
        <f>IFERROR(VLOOKUP(N66,'2026 iyul vash'!A:D,4,0),"0")/1000</f>
        <v>0</v>
      </c>
      <c r="V66" s="173"/>
      <c r="W66" s="173"/>
      <c r="X66" s="173"/>
      <c r="Y66" s="173"/>
      <c r="Z66" s="173"/>
      <c r="AA66" s="162">
        <f t="shared" si="0"/>
        <v>0</v>
      </c>
      <c r="AB66" s="162"/>
      <c r="AC66" s="162"/>
      <c r="AD66" s="71" t="s">
        <v>1541</v>
      </c>
      <c r="AE66" s="77">
        <v>171904842.81999999</v>
      </c>
    </row>
    <row r="67" spans="1:31">
      <c r="A67" s="71" t="s">
        <v>92</v>
      </c>
      <c r="B67" s="72" t="s">
        <v>1758</v>
      </c>
      <c r="C67" s="68" t="s">
        <v>12</v>
      </c>
      <c r="D67" s="105" t="s">
        <v>1243</v>
      </c>
      <c r="E67" s="105" t="s">
        <v>370</v>
      </c>
      <c r="F67" s="112" t="s">
        <v>376</v>
      </c>
      <c r="G67" s="1" t="s">
        <v>522</v>
      </c>
      <c r="H67" s="1" t="s">
        <v>1773</v>
      </c>
      <c r="I67" s="67">
        <v>1848</v>
      </c>
      <c r="J67" s="79">
        <v>1108457426</v>
      </c>
      <c r="K67" s="2" t="s">
        <v>476</v>
      </c>
      <c r="L67" s="113" t="s">
        <v>477</v>
      </c>
      <c r="M67" s="4" t="s">
        <v>478</v>
      </c>
      <c r="N67" s="49" t="s">
        <v>479</v>
      </c>
      <c r="O67" s="76">
        <f>VLOOKUP(N67,Humo!C:P,4,0)</f>
        <v>10984.2</v>
      </c>
      <c r="P67" s="77">
        <f>VLOOKUP(N67,Humo!C:P,6,0)</f>
        <v>10391.700000000001</v>
      </c>
      <c r="Q67" s="77">
        <f>VLOOKUP(N67,Humo!C:P,8,0)</f>
        <v>11004.5</v>
      </c>
      <c r="R67" s="77">
        <f>VLOOKUP(N67,Humo!C:P,10,0)</f>
        <v>8614.9</v>
      </c>
      <c r="S67" s="77">
        <f>VLOOKUP(N67,Humo!C:P,12,0)</f>
        <v>10375.4</v>
      </c>
      <c r="T67" s="77">
        <f>VLOOKUP(N67,Humo!C:P,14,0)</f>
        <v>7098.8</v>
      </c>
      <c r="U67" s="77">
        <f>IFERROR(VLOOKUP(N67,'2026 iyul humo'!A:D,4,0),"0")/1000</f>
        <v>9414.25</v>
      </c>
      <c r="V67" s="77"/>
      <c r="W67" s="77"/>
      <c r="X67" s="77"/>
      <c r="Y67" s="77"/>
      <c r="Z67" s="77"/>
      <c r="AA67" s="162">
        <f t="shared" ref="AA67:AA131" si="2">+SUM(O67:Z67)</f>
        <v>67883.75</v>
      </c>
      <c r="AB67" s="162"/>
      <c r="AC67" s="162"/>
      <c r="AD67" s="114" t="s">
        <v>1548</v>
      </c>
      <c r="AE67" s="115">
        <v>168243023</v>
      </c>
    </row>
    <row r="68" spans="1:31">
      <c r="A68" s="71" t="s">
        <v>93</v>
      </c>
      <c r="B68" s="72" t="s">
        <v>1758</v>
      </c>
      <c r="C68" s="68" t="s">
        <v>12</v>
      </c>
      <c r="D68" s="105" t="s">
        <v>1243</v>
      </c>
      <c r="E68" s="71" t="s">
        <v>364</v>
      </c>
      <c r="F68" s="11" t="s">
        <v>475</v>
      </c>
      <c r="G68" s="1" t="s">
        <v>522</v>
      </c>
      <c r="H68" s="1" t="s">
        <v>1780</v>
      </c>
      <c r="I68" s="67">
        <v>1128.7</v>
      </c>
      <c r="J68" s="113" t="s">
        <v>1787</v>
      </c>
      <c r="K68" s="2" t="s">
        <v>480</v>
      </c>
      <c r="L68" s="113" t="s">
        <v>477</v>
      </c>
      <c r="M68" s="113">
        <v>901124679</v>
      </c>
      <c r="N68" s="49">
        <v>25702</v>
      </c>
      <c r="O68" s="76">
        <f>VLOOKUP(N68,Uzcard!C:P,4,0)</f>
        <v>16923.150000000001</v>
      </c>
      <c r="P68" s="76">
        <f>VLOOKUP(N68,Uzcard!C:P,6,0)</f>
        <v>19201.2</v>
      </c>
      <c r="Q68" s="76">
        <f>VLOOKUP(N68,Uzcard!C:P,8,0)</f>
        <v>23390.15</v>
      </c>
      <c r="R68" s="76">
        <f>VLOOKUP(N68,Uzcard!C:P,10,0)</f>
        <v>16943.400000000001</v>
      </c>
      <c r="S68" s="76">
        <f>VLOOKUP(N68,Uzcard!C:P,12,0)</f>
        <v>22883.3</v>
      </c>
      <c r="T68" s="76">
        <f>VLOOKUP(N68,Uzcard!C:P,14,0)</f>
        <v>21734.25</v>
      </c>
      <c r="U68" s="172">
        <f>IFERROR(VLOOKUP(N68,'2026 iyul uzcard'!A:D,3,0),"0")/1000</f>
        <v>15881.5</v>
      </c>
      <c r="V68" s="172"/>
      <c r="W68" s="172"/>
      <c r="X68" s="172"/>
      <c r="Y68" s="172"/>
      <c r="Z68" s="172"/>
      <c r="AA68" s="162">
        <f t="shared" si="2"/>
        <v>136956.95000000001</v>
      </c>
      <c r="AB68" s="162"/>
      <c r="AC68" s="162"/>
      <c r="AD68" s="114" t="s">
        <v>1554</v>
      </c>
      <c r="AE68" s="115">
        <v>100458192.72</v>
      </c>
    </row>
    <row r="69" spans="1:31">
      <c r="A69" s="71" t="s">
        <v>94</v>
      </c>
      <c r="B69" s="72" t="s">
        <v>1758</v>
      </c>
      <c r="C69" s="68" t="s">
        <v>12</v>
      </c>
      <c r="D69" s="105" t="s">
        <v>1243</v>
      </c>
      <c r="E69" s="110" t="s">
        <v>381</v>
      </c>
      <c r="F69" s="93" t="s">
        <v>382</v>
      </c>
      <c r="G69" s="116" t="s">
        <v>522</v>
      </c>
      <c r="H69" s="116"/>
      <c r="I69" s="116"/>
      <c r="J69" s="4">
        <v>1918258</v>
      </c>
      <c r="K69" s="2" t="s">
        <v>481</v>
      </c>
      <c r="L69" s="113" t="s">
        <v>477</v>
      </c>
      <c r="M69" s="114" t="s">
        <v>482</v>
      </c>
      <c r="N69" s="49" t="s">
        <v>482</v>
      </c>
      <c r="O69" s="76">
        <f>IFERROR(VLOOKUP(N69,'2026 yanvar vash'!A:D,4,0),"0")/1000</f>
        <v>345.41</v>
      </c>
      <c r="P69" s="173">
        <f>IFERROR(VLOOKUP(N69,'2026 fevral vash'!A:D,4,0),"0")/1000</f>
        <v>1109.02</v>
      </c>
      <c r="Q69" s="173">
        <f>IFERROR(VLOOKUP(N69,'2026 mart vash'!A:D,4,0),"0")/1000</f>
        <v>607.79999999999995</v>
      </c>
      <c r="R69" s="173">
        <f>IFERROR(VLOOKUP(N69,'2026 aprel vash'!A:D,4,0),"0")/1000</f>
        <v>164.55</v>
      </c>
      <c r="S69" s="173">
        <f>IFERROR(VLOOKUP(N69,'2026 may vash'!A:D,4,0),"0")/1000</f>
        <v>120</v>
      </c>
      <c r="T69" s="173">
        <f>IFERROR(VLOOKUP(N69,'2026 iyun vash'!A:D,4,0),"0")/1000</f>
        <v>262.3</v>
      </c>
      <c r="U69" s="173">
        <f>IFERROR(VLOOKUP(N69,'2026 iyul vash'!A:D,4,0),"0")/1000</f>
        <v>728.11</v>
      </c>
      <c r="V69" s="173"/>
      <c r="W69" s="173"/>
      <c r="X69" s="173"/>
      <c r="Y69" s="173"/>
      <c r="Z69" s="173"/>
      <c r="AA69" s="162">
        <f t="shared" si="2"/>
        <v>3337.1900000000005</v>
      </c>
      <c r="AB69" s="162"/>
      <c r="AC69" s="162"/>
      <c r="AD69" s="114" t="s">
        <v>1550</v>
      </c>
      <c r="AE69" s="115">
        <v>171904842.81999999</v>
      </c>
    </row>
    <row r="70" spans="1:31" s="102" customFormat="1">
      <c r="A70" s="71" t="s">
        <v>95</v>
      </c>
      <c r="B70" s="72" t="s">
        <v>1758</v>
      </c>
      <c r="C70" s="69" t="s">
        <v>12</v>
      </c>
      <c r="D70" s="105" t="s">
        <v>483</v>
      </c>
      <c r="E70" s="12" t="s">
        <v>370</v>
      </c>
      <c r="F70" s="84" t="s">
        <v>371</v>
      </c>
      <c r="G70" s="1" t="s">
        <v>522</v>
      </c>
      <c r="H70" s="1" t="s">
        <v>1773</v>
      </c>
      <c r="I70" s="67">
        <v>1848</v>
      </c>
      <c r="J70" s="5">
        <v>5310177528</v>
      </c>
      <c r="K70" s="6" t="s">
        <v>484</v>
      </c>
      <c r="L70" s="117" t="s">
        <v>485</v>
      </c>
      <c r="M70" s="6" t="s">
        <v>486</v>
      </c>
      <c r="N70" s="118" t="s">
        <v>487</v>
      </c>
      <c r="O70" s="76">
        <f>VLOOKUP(N70,Humo!C:P,4,0)</f>
        <v>1623.4</v>
      </c>
      <c r="P70" s="77">
        <f>VLOOKUP(N70,Humo!C:P,6,0)</f>
        <v>3053.8</v>
      </c>
      <c r="Q70" s="77">
        <f>VLOOKUP(N70,Humo!C:P,8,0)</f>
        <v>4615.3</v>
      </c>
      <c r="R70" s="77">
        <f>VLOOKUP(N70,Humo!C:P,10,0)</f>
        <v>2006.7</v>
      </c>
      <c r="S70" s="77">
        <f>VLOOKUP(N70,Humo!C:P,12,0)</f>
        <v>2677</v>
      </c>
      <c r="T70" s="77">
        <f>VLOOKUP(N70,Humo!C:P,14,0)</f>
        <v>2888.5</v>
      </c>
      <c r="U70" s="77">
        <f>IFERROR(VLOOKUP(N70,'2026 iyul humo'!A:D,4,0),"0")/1000</f>
        <v>2966.7</v>
      </c>
      <c r="V70" s="77"/>
      <c r="W70" s="77"/>
      <c r="X70" s="77"/>
      <c r="Y70" s="77"/>
      <c r="Z70" s="77"/>
      <c r="AA70" s="162">
        <f t="shared" si="2"/>
        <v>19831.400000000001</v>
      </c>
      <c r="AB70" s="162"/>
      <c r="AC70" s="162"/>
      <c r="AD70" s="114" t="s">
        <v>1549</v>
      </c>
      <c r="AE70" s="115">
        <v>62805331</v>
      </c>
    </row>
    <row r="71" spans="1:31">
      <c r="A71" s="71" t="s">
        <v>96</v>
      </c>
      <c r="B71" s="72" t="s">
        <v>1758</v>
      </c>
      <c r="C71" s="68" t="s">
        <v>12</v>
      </c>
      <c r="D71" s="105" t="s">
        <v>483</v>
      </c>
      <c r="E71" s="3" t="s">
        <v>381</v>
      </c>
      <c r="F71" s="93" t="s">
        <v>382</v>
      </c>
      <c r="G71" s="94" t="s">
        <v>491</v>
      </c>
      <c r="H71" s="94"/>
      <c r="I71" s="94"/>
      <c r="J71" s="113">
        <v>1119339</v>
      </c>
      <c r="K71" s="2" t="s">
        <v>489</v>
      </c>
      <c r="L71" s="113" t="s">
        <v>485</v>
      </c>
      <c r="M71" s="114" t="s">
        <v>490</v>
      </c>
      <c r="N71" s="49" t="s">
        <v>490</v>
      </c>
      <c r="O71" s="76">
        <f>IFERROR(VLOOKUP(N71,'2026 yanvar vash'!A:D,4,0),"0")/1000</f>
        <v>0</v>
      </c>
      <c r="P71" s="173">
        <f>IFERROR(VLOOKUP(N71,'2026 fevral vash'!A:D,4,0),"0")/1000</f>
        <v>0</v>
      </c>
      <c r="Q71" s="173">
        <f>IFERROR(VLOOKUP(N71,'2026 mart vash'!A:D,4,0),"0")/1000</f>
        <v>0</v>
      </c>
      <c r="R71" s="173">
        <f>IFERROR(VLOOKUP(N71,'2026 aprel vash'!A:D,4,0),"0")/1000</f>
        <v>0</v>
      </c>
      <c r="S71" s="173">
        <f>IFERROR(VLOOKUP(N71,'2026 may vash'!A:D,4,0),"0")/1000</f>
        <v>0</v>
      </c>
      <c r="T71" s="173">
        <f>IFERROR(VLOOKUP(N71,'2026 iyun vash'!A:D,4,0),"0")/1000</f>
        <v>0</v>
      </c>
      <c r="U71" s="173">
        <f>IFERROR(VLOOKUP(N71,'2026 iyul vash'!A:D,4,0),"0")/1000</f>
        <v>0</v>
      </c>
      <c r="V71" s="173"/>
      <c r="W71" s="173"/>
      <c r="X71" s="173"/>
      <c r="Y71" s="173"/>
      <c r="Z71" s="173"/>
      <c r="AA71" s="162">
        <f t="shared" si="2"/>
        <v>0</v>
      </c>
      <c r="AB71" s="162"/>
      <c r="AC71" s="162"/>
      <c r="AD71" s="114" t="s">
        <v>1549</v>
      </c>
      <c r="AE71" s="115">
        <v>216557286.44999999</v>
      </c>
    </row>
    <row r="72" spans="1:31">
      <c r="A72" s="71" t="s">
        <v>97</v>
      </c>
      <c r="B72" s="72" t="s">
        <v>1758</v>
      </c>
      <c r="C72" s="68" t="s">
        <v>12</v>
      </c>
      <c r="D72" s="105" t="s">
        <v>483</v>
      </c>
      <c r="E72" s="71" t="s">
        <v>364</v>
      </c>
      <c r="F72" s="11" t="s">
        <v>474</v>
      </c>
      <c r="G72" s="1" t="s">
        <v>491</v>
      </c>
      <c r="H72" s="1"/>
      <c r="I72" s="1"/>
      <c r="J72" s="113" t="s">
        <v>1790</v>
      </c>
      <c r="K72" s="2" t="s">
        <v>492</v>
      </c>
      <c r="L72" s="113" t="s">
        <v>485</v>
      </c>
      <c r="M72" s="113">
        <v>901115100</v>
      </c>
      <c r="N72" s="49">
        <v>15874</v>
      </c>
      <c r="O72" s="76">
        <f>VLOOKUP(N72,Uzcard!C:P,4,0)</f>
        <v>0</v>
      </c>
      <c r="P72" s="76">
        <f>VLOOKUP(N72,Uzcard!C:P,6,0)</f>
        <v>0</v>
      </c>
      <c r="Q72" s="76">
        <f>VLOOKUP(N72,Uzcard!C:P,8,0)</f>
        <v>0</v>
      </c>
      <c r="R72" s="76">
        <f>VLOOKUP(N72,Uzcard!C:P,10,0)</f>
        <v>0</v>
      </c>
      <c r="S72" s="76">
        <f>VLOOKUP(N72,Uzcard!C:P,12,0)</f>
        <v>0</v>
      </c>
      <c r="T72" s="76">
        <f>VLOOKUP(N72,Uzcard!C:P,14,0)</f>
        <v>0</v>
      </c>
      <c r="U72" s="172">
        <f>IFERROR(VLOOKUP(N72,'2026 iyul uzcard'!A:D,3,0),"0")/1000</f>
        <v>0</v>
      </c>
      <c r="V72" s="172"/>
      <c r="W72" s="172"/>
      <c r="X72" s="172"/>
      <c r="Y72" s="172"/>
      <c r="Z72" s="172"/>
      <c r="AA72" s="162">
        <f t="shared" si="2"/>
        <v>0</v>
      </c>
      <c r="AB72" s="162"/>
      <c r="AC72" s="162"/>
      <c r="AD72" s="114" t="s">
        <v>1558</v>
      </c>
      <c r="AE72" s="115">
        <v>106507213.69</v>
      </c>
    </row>
    <row r="73" spans="1:31">
      <c r="A73" s="71" t="s">
        <v>98</v>
      </c>
      <c r="B73" s="72" t="s">
        <v>1758</v>
      </c>
      <c r="C73" s="68" t="s">
        <v>12</v>
      </c>
      <c r="D73" s="105" t="s">
        <v>483</v>
      </c>
      <c r="E73" s="71" t="s">
        <v>364</v>
      </c>
      <c r="F73" s="11" t="s">
        <v>475</v>
      </c>
      <c r="G73" s="1" t="s">
        <v>522</v>
      </c>
      <c r="H73" s="1" t="s">
        <v>1780</v>
      </c>
      <c r="I73" s="67">
        <v>1128.7</v>
      </c>
      <c r="J73" s="13" t="s">
        <v>960</v>
      </c>
      <c r="K73" s="2" t="s">
        <v>493</v>
      </c>
      <c r="L73" s="113" t="s">
        <v>485</v>
      </c>
      <c r="M73" s="4">
        <v>90110028087</v>
      </c>
      <c r="N73" s="48">
        <v>29292</v>
      </c>
      <c r="O73" s="76">
        <f>VLOOKUP(N73,Uzcard!C:P,4,0)</f>
        <v>18057.650000000001</v>
      </c>
      <c r="P73" s="76">
        <f>VLOOKUP(N73,Uzcard!C:P,6,0)</f>
        <v>24758.5</v>
      </c>
      <c r="Q73" s="76">
        <f>VLOOKUP(N73,Uzcard!C:P,8,0)</f>
        <v>17748.2</v>
      </c>
      <c r="R73" s="76">
        <f>VLOOKUP(N73,Uzcard!C:P,10,0)</f>
        <v>12509.95</v>
      </c>
      <c r="S73" s="76">
        <f>VLOOKUP(N73,Uzcard!C:P,12,0)</f>
        <v>21448.400000000001</v>
      </c>
      <c r="T73" s="76">
        <f>VLOOKUP(N73,Uzcard!C:P,14,0)</f>
        <v>21621.5</v>
      </c>
      <c r="U73" s="172">
        <f>IFERROR(VLOOKUP(N73,'2026 iyul uzcard'!A:D,3,0),"0")/1000</f>
        <v>16128.4</v>
      </c>
      <c r="V73" s="172"/>
      <c r="W73" s="172"/>
      <c r="X73" s="172"/>
      <c r="Y73" s="172"/>
      <c r="Z73" s="172"/>
      <c r="AA73" s="162">
        <f t="shared" si="2"/>
        <v>132272.6</v>
      </c>
      <c r="AB73" s="162"/>
      <c r="AC73" s="162"/>
      <c r="AD73" s="114" t="s">
        <v>1528</v>
      </c>
      <c r="AE73" s="115">
        <v>62805331</v>
      </c>
    </row>
    <row r="74" spans="1:31">
      <c r="A74" s="71" t="s">
        <v>99</v>
      </c>
      <c r="B74" s="72" t="s">
        <v>1758</v>
      </c>
      <c r="C74" s="68" t="s">
        <v>12</v>
      </c>
      <c r="D74" s="105" t="s">
        <v>494</v>
      </c>
      <c r="E74" s="71" t="s">
        <v>364</v>
      </c>
      <c r="F74" s="11" t="s">
        <v>475</v>
      </c>
      <c r="G74" s="1" t="s">
        <v>522</v>
      </c>
      <c r="H74" s="1" t="s">
        <v>1780</v>
      </c>
      <c r="I74" s="67">
        <v>1128.7</v>
      </c>
      <c r="J74" s="113" t="s">
        <v>1786</v>
      </c>
      <c r="K74" s="2" t="s">
        <v>495</v>
      </c>
      <c r="L74" s="113" t="s">
        <v>496</v>
      </c>
      <c r="M74" s="4">
        <v>901120384</v>
      </c>
      <c r="N74" s="49">
        <v>21273</v>
      </c>
      <c r="O74" s="76">
        <f>VLOOKUP(N74,Uzcard!C:P,4,0)</f>
        <v>15407.9</v>
      </c>
      <c r="P74" s="76">
        <f>VLOOKUP(N74,Uzcard!C:P,6,0)</f>
        <v>29894</v>
      </c>
      <c r="Q74" s="76">
        <f>VLOOKUP(N74,Uzcard!C:P,8,0)</f>
        <v>27759.1</v>
      </c>
      <c r="R74" s="76">
        <f>VLOOKUP(N74,Uzcard!C:P,10,0)</f>
        <v>17728.8</v>
      </c>
      <c r="S74" s="76">
        <f>VLOOKUP(N74,Uzcard!C:P,12,0)</f>
        <v>24125.05</v>
      </c>
      <c r="T74" s="76">
        <f>VLOOKUP(N74,Uzcard!C:P,14,0)</f>
        <v>37488.699999999997</v>
      </c>
      <c r="U74" s="172">
        <f>IFERROR(VLOOKUP(N74,'2026 iyul uzcard'!A:D,3,0),"0")/1000</f>
        <v>19572.3</v>
      </c>
      <c r="V74" s="172"/>
      <c r="W74" s="172"/>
      <c r="X74" s="172"/>
      <c r="Y74" s="172"/>
      <c r="Z74" s="172"/>
      <c r="AA74" s="162">
        <f t="shared" si="2"/>
        <v>171975.84999999998</v>
      </c>
      <c r="AB74" s="162"/>
      <c r="AC74" s="162"/>
      <c r="AD74" s="114" t="s">
        <v>1557</v>
      </c>
      <c r="AE74" s="115">
        <v>131315497</v>
      </c>
    </row>
    <row r="75" spans="1:31">
      <c r="A75" s="71" t="s">
        <v>100</v>
      </c>
      <c r="B75" s="72" t="s">
        <v>1758</v>
      </c>
      <c r="C75" s="68" t="s">
        <v>12</v>
      </c>
      <c r="D75" s="105" t="s">
        <v>494</v>
      </c>
      <c r="E75" s="12" t="s">
        <v>370</v>
      </c>
      <c r="F75" s="95" t="s">
        <v>371</v>
      </c>
      <c r="G75" s="1" t="s">
        <v>522</v>
      </c>
      <c r="H75" s="1" t="s">
        <v>1773</v>
      </c>
      <c r="I75" s="67">
        <v>1848</v>
      </c>
      <c r="J75" s="4">
        <v>5310177715</v>
      </c>
      <c r="K75" s="2" t="s">
        <v>497</v>
      </c>
      <c r="L75" s="113" t="s">
        <v>496</v>
      </c>
      <c r="M75" s="4" t="s">
        <v>498</v>
      </c>
      <c r="N75" s="49" t="s">
        <v>499</v>
      </c>
      <c r="O75" s="76">
        <f>VLOOKUP(N75,Humo!C:P,4,0)</f>
        <v>12334.7</v>
      </c>
      <c r="P75" s="77">
        <f>VLOOKUP(N75,Humo!C:P,6,0)</f>
        <v>12705.4</v>
      </c>
      <c r="Q75" s="77">
        <f>VLOOKUP(N75,Humo!C:P,8,0)</f>
        <v>17808.099999999999</v>
      </c>
      <c r="R75" s="77">
        <f>VLOOKUP(N75,Humo!C:P,10,0)</f>
        <v>9400.7999999999993</v>
      </c>
      <c r="S75" s="77">
        <f>VLOOKUP(N75,Humo!C:P,12,0)</f>
        <v>13271.9</v>
      </c>
      <c r="T75" s="77">
        <f>VLOOKUP(N75,Humo!C:P,14,0)</f>
        <v>15400.3</v>
      </c>
      <c r="U75" s="77">
        <f>IFERROR(VLOOKUP(N75,'2026 iyul humo'!A:D,4,0),"0")/1000</f>
        <v>12358.5</v>
      </c>
      <c r="V75" s="77"/>
      <c r="W75" s="77"/>
      <c r="X75" s="77"/>
      <c r="Y75" s="77"/>
      <c r="Z75" s="77"/>
      <c r="AA75" s="162">
        <f t="shared" si="2"/>
        <v>93279.7</v>
      </c>
      <c r="AB75" s="162"/>
      <c r="AC75" s="162"/>
      <c r="AD75" s="114" t="s">
        <v>1506</v>
      </c>
      <c r="AE75" s="115">
        <v>63098415.920000002</v>
      </c>
    </row>
    <row r="76" spans="1:31">
      <c r="A76" s="71" t="s">
        <v>101</v>
      </c>
      <c r="B76" s="72" t="s">
        <v>1758</v>
      </c>
      <c r="C76" s="68" t="s">
        <v>12</v>
      </c>
      <c r="D76" s="105" t="s">
        <v>523</v>
      </c>
      <c r="E76" s="12" t="s">
        <v>370</v>
      </c>
      <c r="F76" s="95" t="s">
        <v>371</v>
      </c>
      <c r="G76" s="1" t="s">
        <v>522</v>
      </c>
      <c r="H76" s="1" t="s">
        <v>1773</v>
      </c>
      <c r="I76" s="67">
        <v>1848</v>
      </c>
      <c r="J76" s="4">
        <v>5310177960</v>
      </c>
      <c r="K76" s="2" t="s">
        <v>500</v>
      </c>
      <c r="L76" s="113" t="s">
        <v>501</v>
      </c>
      <c r="M76" s="4" t="s">
        <v>502</v>
      </c>
      <c r="N76" s="49" t="s">
        <v>503</v>
      </c>
      <c r="O76" s="76">
        <f>VLOOKUP(N76,Humo!C:P,4,0)</f>
        <v>3641.9</v>
      </c>
      <c r="P76" s="77">
        <f>VLOOKUP(N76,Humo!C:P,6,0)</f>
        <v>8368.4</v>
      </c>
      <c r="Q76" s="77">
        <f>VLOOKUP(N76,Humo!C:P,8,0)</f>
        <v>4919.5</v>
      </c>
      <c r="R76" s="77">
        <f>VLOOKUP(N76,Humo!C:P,10,0)</f>
        <v>3723.9</v>
      </c>
      <c r="S76" s="77">
        <f>VLOOKUP(N76,Humo!C:P,12,0)</f>
        <v>6342</v>
      </c>
      <c r="T76" s="77">
        <f>VLOOKUP(N76,Humo!C:P,14,0)</f>
        <v>11586.9</v>
      </c>
      <c r="U76" s="77">
        <f>IFERROR(VLOOKUP(N76,'2026 iyul humo'!A:D,4,0),"0")/1000</f>
        <v>11683.7</v>
      </c>
      <c r="V76" s="77"/>
      <c r="W76" s="77"/>
      <c r="X76" s="77"/>
      <c r="Y76" s="77"/>
      <c r="Z76" s="77"/>
      <c r="AA76" s="162">
        <f t="shared" si="2"/>
        <v>50266.3</v>
      </c>
      <c r="AB76" s="162"/>
      <c r="AC76" s="162"/>
      <c r="AD76" s="114" t="s">
        <v>1552</v>
      </c>
      <c r="AE76" s="115">
        <v>62805331</v>
      </c>
    </row>
    <row r="77" spans="1:31">
      <c r="A77" s="71" t="s">
        <v>102</v>
      </c>
      <c r="B77" s="72" t="s">
        <v>1758</v>
      </c>
      <c r="C77" s="68" t="s">
        <v>12</v>
      </c>
      <c r="D77" s="105" t="s">
        <v>523</v>
      </c>
      <c r="E77" s="71" t="s">
        <v>364</v>
      </c>
      <c r="F77" s="11" t="s">
        <v>475</v>
      </c>
      <c r="G77" s="1" t="s">
        <v>522</v>
      </c>
      <c r="H77" s="1" t="s">
        <v>1780</v>
      </c>
      <c r="I77" s="67">
        <v>1128.7</v>
      </c>
      <c r="J77" s="113" t="s">
        <v>1784</v>
      </c>
      <c r="K77" s="2" t="s">
        <v>504</v>
      </c>
      <c r="L77" s="113" t="s">
        <v>501</v>
      </c>
      <c r="M77" s="113">
        <v>901120383</v>
      </c>
      <c r="N77" s="49">
        <v>21272</v>
      </c>
      <c r="O77" s="76">
        <f>VLOOKUP(N77,Uzcard!C:P,4,0)</f>
        <v>15453.25</v>
      </c>
      <c r="P77" s="76">
        <f>VLOOKUP(N77,Uzcard!C:P,6,0)</f>
        <v>15102.85</v>
      </c>
      <c r="Q77" s="76">
        <f>VLOOKUP(N77,Uzcard!C:P,8,0)</f>
        <v>16933.349999999999</v>
      </c>
      <c r="R77" s="76">
        <f>VLOOKUP(N77,Uzcard!C:P,10,0)</f>
        <v>13149.7</v>
      </c>
      <c r="S77" s="76">
        <f>VLOOKUP(N77,Uzcard!C:P,12,0)</f>
        <v>20221.599999999999</v>
      </c>
      <c r="T77" s="76">
        <f>VLOOKUP(N77,Uzcard!C:P,14,0)</f>
        <v>18534.55</v>
      </c>
      <c r="U77" s="172">
        <f>IFERROR(VLOOKUP(N77,'2026 iyul uzcard'!A:D,3,0),"0")/1000</f>
        <v>12161.15</v>
      </c>
      <c r="V77" s="172"/>
      <c r="W77" s="172"/>
      <c r="X77" s="172"/>
      <c r="Y77" s="172"/>
      <c r="Z77" s="172"/>
      <c r="AA77" s="162">
        <f t="shared" si="2"/>
        <v>111556.45</v>
      </c>
      <c r="AB77" s="162"/>
      <c r="AC77" s="162"/>
      <c r="AD77" s="114" t="s">
        <v>1506</v>
      </c>
      <c r="AE77" s="115">
        <v>131315497</v>
      </c>
    </row>
    <row r="78" spans="1:31">
      <c r="A78" s="71" t="s">
        <v>103</v>
      </c>
      <c r="B78" s="72" t="s">
        <v>1758</v>
      </c>
      <c r="C78" s="68" t="s">
        <v>12</v>
      </c>
      <c r="D78" s="105" t="s">
        <v>505</v>
      </c>
      <c r="E78" s="71" t="s">
        <v>364</v>
      </c>
      <c r="F78" s="11" t="s">
        <v>474</v>
      </c>
      <c r="G78" s="1" t="s">
        <v>491</v>
      </c>
      <c r="H78" s="1"/>
      <c r="I78" s="1"/>
      <c r="J78" s="113" t="s">
        <v>1791</v>
      </c>
      <c r="K78" s="2" t="s">
        <v>506</v>
      </c>
      <c r="L78" s="113" t="s">
        <v>507</v>
      </c>
      <c r="M78" s="113">
        <v>901114214</v>
      </c>
      <c r="N78" s="49">
        <v>15007</v>
      </c>
      <c r="O78" s="76">
        <f>VLOOKUP(N78,Uzcard!C:P,4,0)</f>
        <v>0</v>
      </c>
      <c r="P78" s="76">
        <f>VLOOKUP(N78,Uzcard!C:P,6,0)</f>
        <v>0</v>
      </c>
      <c r="Q78" s="76">
        <f>VLOOKUP(N78,Uzcard!C:P,8,0)</f>
        <v>0</v>
      </c>
      <c r="R78" s="76">
        <f>VLOOKUP(N78,Uzcard!C:P,10,0)</f>
        <v>0</v>
      </c>
      <c r="S78" s="76">
        <f>VLOOKUP(N78,Uzcard!C:P,12,0)</f>
        <v>0</v>
      </c>
      <c r="T78" s="76">
        <f>VLOOKUP(N78,Uzcard!C:P,14,0)</f>
        <v>0</v>
      </c>
      <c r="U78" s="172">
        <f>IFERROR(VLOOKUP(N78,'2026 iyul uzcard'!A:D,3,0),"0")/1000</f>
        <v>0</v>
      </c>
      <c r="V78" s="172"/>
      <c r="W78" s="172"/>
      <c r="X78" s="172"/>
      <c r="Y78" s="172"/>
      <c r="Z78" s="172"/>
      <c r="AA78" s="162">
        <f t="shared" si="2"/>
        <v>0</v>
      </c>
      <c r="AB78" s="162"/>
      <c r="AC78" s="162"/>
      <c r="AD78" s="114" t="s">
        <v>1558</v>
      </c>
      <c r="AE78" s="115">
        <v>108319139.8</v>
      </c>
    </row>
    <row r="79" spans="1:31">
      <c r="A79" s="71" t="s">
        <v>104</v>
      </c>
      <c r="B79" s="72" t="s">
        <v>1758</v>
      </c>
      <c r="C79" s="68" t="s">
        <v>12</v>
      </c>
      <c r="D79" s="105" t="s">
        <v>505</v>
      </c>
      <c r="E79" s="12" t="s">
        <v>370</v>
      </c>
      <c r="F79" s="95" t="s">
        <v>371</v>
      </c>
      <c r="G79" s="1" t="s">
        <v>522</v>
      </c>
      <c r="H79" s="1" t="s">
        <v>1773</v>
      </c>
      <c r="I79" s="67">
        <v>1848</v>
      </c>
      <c r="J79" s="4">
        <v>5310177699</v>
      </c>
      <c r="K79" s="2" t="s">
        <v>508</v>
      </c>
      <c r="L79" s="113" t="s">
        <v>507</v>
      </c>
      <c r="M79" s="2" t="s">
        <v>509</v>
      </c>
      <c r="N79" s="49" t="s">
        <v>510</v>
      </c>
      <c r="O79" s="76">
        <f>VLOOKUP(N79,Humo!C:P,4,0)</f>
        <v>10967.9</v>
      </c>
      <c r="P79" s="77">
        <f>VLOOKUP(N79,Humo!C:P,6,0)</f>
        <v>15592.7</v>
      </c>
      <c r="Q79" s="77">
        <f>VLOOKUP(N79,Humo!C:P,8,0)</f>
        <v>18055.2</v>
      </c>
      <c r="R79" s="77">
        <f>VLOOKUP(N79,Humo!C:P,10,0)</f>
        <v>11666.2</v>
      </c>
      <c r="S79" s="77">
        <f>VLOOKUP(N79,Humo!C:P,12,0)</f>
        <v>17637.099999999999</v>
      </c>
      <c r="T79" s="77">
        <f>VLOOKUP(N79,Humo!C:P,14,0)</f>
        <v>21507</v>
      </c>
      <c r="U79" s="77">
        <f>IFERROR(VLOOKUP(N79,'2026 iyul humo'!A:D,4,0),"0")/1000</f>
        <v>16119.15</v>
      </c>
      <c r="V79" s="77"/>
      <c r="W79" s="77"/>
      <c r="X79" s="77"/>
      <c r="Y79" s="77"/>
      <c r="Z79" s="77"/>
      <c r="AA79" s="162">
        <f t="shared" si="2"/>
        <v>111545.25</v>
      </c>
      <c r="AB79" s="162"/>
      <c r="AC79" s="162"/>
      <c r="AD79" s="114" t="s">
        <v>1549</v>
      </c>
      <c r="AE79" s="115">
        <v>62805331</v>
      </c>
    </row>
    <row r="80" spans="1:31">
      <c r="A80" s="71" t="s">
        <v>105</v>
      </c>
      <c r="B80" s="72" t="s">
        <v>1758</v>
      </c>
      <c r="C80" s="68" t="s">
        <v>12</v>
      </c>
      <c r="D80" s="105" t="s">
        <v>524</v>
      </c>
      <c r="E80" s="71" t="s">
        <v>364</v>
      </c>
      <c r="F80" s="11" t="s">
        <v>475</v>
      </c>
      <c r="G80" s="1" t="s">
        <v>522</v>
      </c>
      <c r="H80" s="1" t="s">
        <v>1780</v>
      </c>
      <c r="I80" s="67">
        <v>1128.7</v>
      </c>
      <c r="J80" s="13" t="s">
        <v>1789</v>
      </c>
      <c r="K80" s="119" t="s">
        <v>511</v>
      </c>
      <c r="L80" s="113" t="s">
        <v>512</v>
      </c>
      <c r="M80" s="4">
        <v>90110028088</v>
      </c>
      <c r="N80" s="48">
        <v>29293</v>
      </c>
      <c r="O80" s="76">
        <f>VLOOKUP(N80,Uzcard!C:P,4,0)</f>
        <v>1233.1500000000001</v>
      </c>
      <c r="P80" s="76">
        <f>VLOOKUP(N80,Uzcard!C:P,6,0)</f>
        <v>1547.4</v>
      </c>
      <c r="Q80" s="76">
        <f>VLOOKUP(N80,Uzcard!C:P,8,0)</f>
        <v>1775.35</v>
      </c>
      <c r="R80" s="76">
        <f>VLOOKUP(N80,Uzcard!C:P,10,0)</f>
        <v>895.85</v>
      </c>
      <c r="S80" s="76">
        <f>VLOOKUP(N80,Uzcard!C:P,12,0)</f>
        <v>1709.95</v>
      </c>
      <c r="T80" s="76">
        <f>VLOOKUP(N80,Uzcard!C:P,14,0)</f>
        <v>1735.95</v>
      </c>
      <c r="U80" s="172">
        <f>IFERROR(VLOOKUP(N80,'2026 iyul uzcard'!A:D,3,0),"0")/1000</f>
        <v>1216.8499999999999</v>
      </c>
      <c r="V80" s="172"/>
      <c r="W80" s="172"/>
      <c r="X80" s="172"/>
      <c r="Y80" s="172"/>
      <c r="Z80" s="172"/>
      <c r="AA80" s="162">
        <f t="shared" si="2"/>
        <v>10114.5</v>
      </c>
      <c r="AB80" s="162"/>
      <c r="AC80" s="162"/>
      <c r="AD80" s="114" t="s">
        <v>1553</v>
      </c>
      <c r="AE80" s="115">
        <v>105827950</v>
      </c>
    </row>
    <row r="81" spans="1:31">
      <c r="A81" s="71" t="s">
        <v>106</v>
      </c>
      <c r="B81" s="72" t="s">
        <v>1758</v>
      </c>
      <c r="C81" s="68" t="s">
        <v>12</v>
      </c>
      <c r="D81" s="105" t="s">
        <v>524</v>
      </c>
      <c r="E81" s="83" t="s">
        <v>364</v>
      </c>
      <c r="F81" s="12" t="s">
        <v>1162</v>
      </c>
      <c r="G81" s="1" t="s">
        <v>522</v>
      </c>
      <c r="H81" s="1" t="s">
        <v>1780</v>
      </c>
      <c r="I81" s="67">
        <v>1128.7</v>
      </c>
      <c r="J81" s="3" t="s">
        <v>1398</v>
      </c>
      <c r="K81" s="119" t="s">
        <v>1399</v>
      </c>
      <c r="L81" s="113" t="s">
        <v>1400</v>
      </c>
      <c r="M81" s="4">
        <v>90110038071</v>
      </c>
      <c r="N81" s="48">
        <v>39951</v>
      </c>
      <c r="O81" s="76">
        <f>VLOOKUP(N81,Uzcard!C:P,4,0)</f>
        <v>0</v>
      </c>
      <c r="P81" s="76">
        <f>VLOOKUP(N81,Uzcard!C:P,6,0)</f>
        <v>0</v>
      </c>
      <c r="Q81" s="76">
        <f>VLOOKUP(N81,Uzcard!C:P,8,0)</f>
        <v>0</v>
      </c>
      <c r="R81" s="76">
        <f>VLOOKUP(N81,Uzcard!C:P,10,0)</f>
        <v>0</v>
      </c>
      <c r="S81" s="76">
        <f>VLOOKUP(N81,Uzcard!C:P,12,0)</f>
        <v>0</v>
      </c>
      <c r="T81" s="76">
        <f>VLOOKUP(N81,Uzcard!C:P,14,0)</f>
        <v>59.4</v>
      </c>
      <c r="U81" s="172">
        <f>IFERROR(VLOOKUP(N81,'2026 iyul uzcard'!A:D,3,0),"0")/1000</f>
        <v>174.6</v>
      </c>
      <c r="V81" s="172"/>
      <c r="W81" s="172"/>
      <c r="X81" s="172"/>
      <c r="Y81" s="172"/>
      <c r="Z81" s="172"/>
      <c r="AA81" s="162">
        <f t="shared" si="2"/>
        <v>234</v>
      </c>
      <c r="AB81" s="162"/>
      <c r="AC81" s="162"/>
      <c r="AD81" s="114" t="s">
        <v>1501</v>
      </c>
      <c r="AE81" s="115">
        <v>362504800</v>
      </c>
    </row>
    <row r="82" spans="1:31">
      <c r="A82" s="71" t="s">
        <v>107</v>
      </c>
      <c r="B82" s="72" t="s">
        <v>1758</v>
      </c>
      <c r="C82" s="68" t="s">
        <v>12</v>
      </c>
      <c r="D82" s="105" t="s">
        <v>525</v>
      </c>
      <c r="E82" s="12" t="s">
        <v>370</v>
      </c>
      <c r="F82" s="95" t="s">
        <v>371</v>
      </c>
      <c r="G82" s="1" t="s">
        <v>522</v>
      </c>
      <c r="H82" s="1" t="s">
        <v>1773</v>
      </c>
      <c r="I82" s="67">
        <v>1848</v>
      </c>
      <c r="J82" s="3">
        <v>5310177415</v>
      </c>
      <c r="K82" s="2" t="s">
        <v>513</v>
      </c>
      <c r="L82" s="3" t="s">
        <v>514</v>
      </c>
      <c r="M82" s="66" t="s">
        <v>2101</v>
      </c>
      <c r="N82" s="82" t="s">
        <v>730</v>
      </c>
      <c r="O82" s="76">
        <f>VLOOKUP(N82,Humo!C:P,4,0)</f>
        <v>6506.9</v>
      </c>
      <c r="P82" s="77">
        <f>VLOOKUP(N82,Humo!C:P,6,0)</f>
        <v>2014.2</v>
      </c>
      <c r="Q82" s="77">
        <f>VLOOKUP(N82,Humo!C:P,8,0)</f>
        <v>1129.2</v>
      </c>
      <c r="R82" s="77">
        <f>VLOOKUP(N82,Humo!C:P,10,0)</f>
        <v>6023.3</v>
      </c>
      <c r="S82" s="77">
        <f>VLOOKUP(N82,Humo!C:P,12,0)</f>
        <v>6805</v>
      </c>
      <c r="T82" s="77">
        <f>VLOOKUP(N82,Humo!C:P,14,0)</f>
        <v>6092.2</v>
      </c>
      <c r="U82" s="77">
        <f>IFERROR(VLOOKUP(N82,'2026 iyul humo'!A:D,4,0),"0")/1000</f>
        <v>4461.2</v>
      </c>
      <c r="V82" s="77"/>
      <c r="W82" s="77"/>
      <c r="X82" s="77"/>
      <c r="Y82" s="77"/>
      <c r="Z82" s="77"/>
      <c r="AA82" s="162">
        <f t="shared" si="2"/>
        <v>33032</v>
      </c>
      <c r="AB82" s="162"/>
      <c r="AC82" s="162"/>
      <c r="AD82" s="114" t="s">
        <v>1551</v>
      </c>
      <c r="AE82" s="115">
        <v>62805331</v>
      </c>
    </row>
    <row r="83" spans="1:31">
      <c r="A83" s="71" t="s">
        <v>108</v>
      </c>
      <c r="B83" s="72" t="s">
        <v>1758</v>
      </c>
      <c r="C83" s="68" t="s">
        <v>12</v>
      </c>
      <c r="D83" s="105" t="s">
        <v>2174</v>
      </c>
      <c r="E83" s="182" t="s">
        <v>364</v>
      </c>
      <c r="F83" s="127" t="s">
        <v>376</v>
      </c>
      <c r="G83" s="182" t="s">
        <v>522</v>
      </c>
      <c r="H83" s="98" t="s">
        <v>1773</v>
      </c>
      <c r="I83" s="67">
        <v>1848</v>
      </c>
      <c r="J83" s="127" t="s">
        <v>1460</v>
      </c>
      <c r="K83" s="127" t="s">
        <v>1302</v>
      </c>
      <c r="L83" s="182" t="s">
        <v>2175</v>
      </c>
      <c r="M83" s="182" t="s">
        <v>2176</v>
      </c>
      <c r="N83" s="141" t="s">
        <v>1249</v>
      </c>
      <c r="O83" s="76">
        <f>VLOOKUP(N83,Humo!C:P,4,0)</f>
        <v>7445.8</v>
      </c>
      <c r="P83" s="77">
        <f>VLOOKUP(N83,Humo!C:P,6,0)</f>
        <v>3990.7</v>
      </c>
      <c r="Q83" s="77">
        <f>VLOOKUP(N83,Humo!C:P,8,0)</f>
        <v>7473.4</v>
      </c>
      <c r="R83" s="77">
        <f>VLOOKUP(N83,Humo!C:P,10,0)</f>
        <v>6175.9</v>
      </c>
      <c r="S83" s="77">
        <f>VLOOKUP(N83,Humo!C:P,12,0)</f>
        <v>2559.5</v>
      </c>
      <c r="T83" s="77">
        <f>VLOOKUP(N83,Humo!C:P,14,0)</f>
        <v>0</v>
      </c>
      <c r="U83" s="77">
        <f>IFERROR(VLOOKUP(N83,'2026 iyul humo'!A:D,4,0),"0")/1000</f>
        <v>0</v>
      </c>
      <c r="V83" s="77"/>
      <c r="W83" s="77"/>
      <c r="X83" s="77"/>
      <c r="Y83" s="77"/>
      <c r="Z83" s="77"/>
      <c r="AA83" s="162">
        <f t="shared" si="2"/>
        <v>27645.300000000003</v>
      </c>
      <c r="AB83" s="162"/>
      <c r="AC83" s="162"/>
      <c r="AD83" s="142" t="s">
        <v>1698</v>
      </c>
      <c r="AE83" s="77">
        <v>168243023</v>
      </c>
    </row>
    <row r="84" spans="1:31">
      <c r="A84" s="71" t="s">
        <v>109</v>
      </c>
      <c r="B84" s="72" t="s">
        <v>1758</v>
      </c>
      <c r="C84" s="68" t="s">
        <v>12</v>
      </c>
      <c r="D84" s="105" t="s">
        <v>1012</v>
      </c>
      <c r="E84" s="12" t="s">
        <v>370</v>
      </c>
      <c r="F84" s="95" t="s">
        <v>371</v>
      </c>
      <c r="G84" s="1" t="s">
        <v>522</v>
      </c>
      <c r="H84" s="1" t="s">
        <v>1773</v>
      </c>
      <c r="I84" s="67">
        <v>1848</v>
      </c>
      <c r="J84" s="4">
        <v>5310178013</v>
      </c>
      <c r="K84" s="2" t="s">
        <v>515</v>
      </c>
      <c r="L84" s="113" t="s">
        <v>516</v>
      </c>
      <c r="M84" s="4" t="s">
        <v>517</v>
      </c>
      <c r="N84" s="49" t="s">
        <v>518</v>
      </c>
      <c r="O84" s="76">
        <f>VLOOKUP(N84,Humo!C:P,4,0)</f>
        <v>8324</v>
      </c>
      <c r="P84" s="77">
        <f>VLOOKUP(N84,Humo!C:P,6,0)</f>
        <v>15201</v>
      </c>
      <c r="Q84" s="77">
        <f>VLOOKUP(N84,Humo!C:P,8,0)</f>
        <v>17507.400000000001</v>
      </c>
      <c r="R84" s="77">
        <f>VLOOKUP(N84,Humo!C:P,10,0)</f>
        <v>703</v>
      </c>
      <c r="S84" s="77">
        <f>VLOOKUP(N84,Humo!C:P,12,0)</f>
        <v>10526.6</v>
      </c>
      <c r="T84" s="77">
        <f>VLOOKUP(N84,Humo!C:P,14,0)</f>
        <v>12471.9</v>
      </c>
      <c r="U84" s="77">
        <f>IFERROR(VLOOKUP(N84,'2026 iyul humo'!A:D,4,0),"0")/1000</f>
        <v>11648.65</v>
      </c>
      <c r="V84" s="77"/>
      <c r="W84" s="77"/>
      <c r="X84" s="77"/>
      <c r="Y84" s="77"/>
      <c r="Z84" s="77"/>
      <c r="AA84" s="162">
        <f t="shared" si="2"/>
        <v>76382.55</v>
      </c>
      <c r="AB84" s="162"/>
      <c r="AC84" s="162"/>
      <c r="AD84" s="114" t="s">
        <v>1549</v>
      </c>
      <c r="AE84" s="115">
        <v>62805331</v>
      </c>
    </row>
    <row r="85" spans="1:31">
      <c r="A85" s="71" t="s">
        <v>110</v>
      </c>
      <c r="B85" s="72" t="s">
        <v>1758</v>
      </c>
      <c r="C85" s="68" t="s">
        <v>12</v>
      </c>
      <c r="D85" s="105" t="s">
        <v>1012</v>
      </c>
      <c r="E85" s="71" t="s">
        <v>364</v>
      </c>
      <c r="F85" s="11" t="s">
        <v>474</v>
      </c>
      <c r="G85" s="1" t="s">
        <v>491</v>
      </c>
      <c r="H85" s="1"/>
      <c r="I85" s="1"/>
      <c r="J85" s="113" t="s">
        <v>1792</v>
      </c>
      <c r="K85" s="2" t="s">
        <v>519</v>
      </c>
      <c r="L85" s="113" t="s">
        <v>516</v>
      </c>
      <c r="M85" s="113">
        <v>901118213</v>
      </c>
      <c r="N85" s="49">
        <v>19037</v>
      </c>
      <c r="O85" s="76">
        <f>VLOOKUP(N85,Uzcard!C:P,4,0)</f>
        <v>0</v>
      </c>
      <c r="P85" s="76">
        <f>VLOOKUP(N85,Uzcard!C:P,6,0)</f>
        <v>0</v>
      </c>
      <c r="Q85" s="76">
        <f>VLOOKUP(N85,Uzcard!C:P,8,0)</f>
        <v>0</v>
      </c>
      <c r="R85" s="76">
        <f>VLOOKUP(N85,Uzcard!C:P,10,0)</f>
        <v>0</v>
      </c>
      <c r="S85" s="76">
        <f>VLOOKUP(N85,Uzcard!C:P,12,0)</f>
        <v>0</v>
      </c>
      <c r="T85" s="76">
        <f>VLOOKUP(N85,Uzcard!C:P,14,0)</f>
        <v>0</v>
      </c>
      <c r="U85" s="172">
        <f>IFERROR(VLOOKUP(N85,'2026 iyul uzcard'!A:D,3,0),"0")/1000</f>
        <v>0</v>
      </c>
      <c r="V85" s="172"/>
      <c r="W85" s="172"/>
      <c r="X85" s="172"/>
      <c r="Y85" s="172"/>
      <c r="Z85" s="172"/>
      <c r="AA85" s="162">
        <f t="shared" si="2"/>
        <v>0</v>
      </c>
      <c r="AB85" s="162"/>
      <c r="AC85" s="162"/>
      <c r="AD85" s="114" t="s">
        <v>1555</v>
      </c>
      <c r="AE85" s="115">
        <v>144808312</v>
      </c>
    </row>
    <row r="86" spans="1:31">
      <c r="A86" s="71" t="s">
        <v>111</v>
      </c>
      <c r="B86" s="72" t="s">
        <v>1758</v>
      </c>
      <c r="C86" s="68" t="s">
        <v>12</v>
      </c>
      <c r="D86" s="105" t="s">
        <v>1012</v>
      </c>
      <c r="E86" s="12" t="s">
        <v>370</v>
      </c>
      <c r="F86" s="95" t="s">
        <v>371</v>
      </c>
      <c r="G86" s="1" t="s">
        <v>522</v>
      </c>
      <c r="H86" s="1" t="s">
        <v>1773</v>
      </c>
      <c r="I86" s="67">
        <v>1848</v>
      </c>
      <c r="J86" s="3">
        <v>5310177315</v>
      </c>
      <c r="K86" s="2" t="s">
        <v>520</v>
      </c>
      <c r="L86" s="113" t="s">
        <v>516</v>
      </c>
      <c r="M86" s="2" t="s">
        <v>521</v>
      </c>
      <c r="N86" s="49">
        <v>15700003</v>
      </c>
      <c r="O86" s="76">
        <f>VLOOKUP(N86,Humo!C:P,4,0)</f>
        <v>12059.1</v>
      </c>
      <c r="P86" s="77">
        <f>VLOOKUP(N86,Humo!C:P,6,0)</f>
        <v>10900.6</v>
      </c>
      <c r="Q86" s="77">
        <f>VLOOKUP(N86,Humo!C:P,8,0)</f>
        <v>18888.5</v>
      </c>
      <c r="R86" s="77">
        <f>VLOOKUP(N86,Humo!C:P,10,0)</f>
        <v>13822.6</v>
      </c>
      <c r="S86" s="77">
        <f>VLOOKUP(N86,Humo!C:P,12,0)</f>
        <v>16381.5</v>
      </c>
      <c r="T86" s="77">
        <f>VLOOKUP(N86,Humo!C:P,14,0)</f>
        <v>13714.8</v>
      </c>
      <c r="U86" s="77">
        <f>IFERROR(VLOOKUP(N86,'2026 iyul humo'!A:D,4,0),"0")/1000</f>
        <v>15059.5</v>
      </c>
      <c r="V86" s="77"/>
      <c r="W86" s="77"/>
      <c r="X86" s="77"/>
      <c r="Y86" s="77"/>
      <c r="Z86" s="77"/>
      <c r="AA86" s="162">
        <f t="shared" si="2"/>
        <v>100826.59999999999</v>
      </c>
      <c r="AB86" s="162"/>
      <c r="AC86" s="162"/>
      <c r="AD86" s="114" t="s">
        <v>1556</v>
      </c>
      <c r="AE86" s="115">
        <v>131315497</v>
      </c>
    </row>
    <row r="87" spans="1:31">
      <c r="A87" s="71" t="s">
        <v>112</v>
      </c>
      <c r="B87" s="72" t="s">
        <v>1759</v>
      </c>
      <c r="C87" s="68" t="s">
        <v>13</v>
      </c>
      <c r="D87" s="73" t="s">
        <v>1243</v>
      </c>
      <c r="E87" s="71" t="s">
        <v>370</v>
      </c>
      <c r="F87" s="79" t="s">
        <v>371</v>
      </c>
      <c r="G87" s="116" t="s">
        <v>522</v>
      </c>
      <c r="H87" s="120" t="s">
        <v>1773</v>
      </c>
      <c r="I87" s="67">
        <v>1848</v>
      </c>
      <c r="J87" s="120" t="s">
        <v>1776</v>
      </c>
      <c r="K87" s="71" t="s">
        <v>1105</v>
      </c>
      <c r="L87" s="71" t="s">
        <v>1106</v>
      </c>
      <c r="M87" s="71" t="s">
        <v>1107</v>
      </c>
      <c r="N87" s="75" t="s">
        <v>1108</v>
      </c>
      <c r="O87" s="76">
        <f>VLOOKUP(N87,Humo!C:P,4,0)</f>
        <v>919.75</v>
      </c>
      <c r="P87" s="77">
        <f>VLOOKUP(N87,Humo!C:P,6,0)</f>
        <v>2018.6</v>
      </c>
      <c r="Q87" s="77">
        <f>VLOOKUP(N87,Humo!C:P,8,0)</f>
        <v>5880.95</v>
      </c>
      <c r="R87" s="77">
        <f>VLOOKUP(N87,Humo!C:P,10,0)</f>
        <v>4352.5</v>
      </c>
      <c r="S87" s="77">
        <f>VLOOKUP(N87,Humo!C:P,12,0)</f>
        <v>10033.65</v>
      </c>
      <c r="T87" s="77">
        <f>VLOOKUP(N87,Humo!C:P,14,0)</f>
        <v>2188.9</v>
      </c>
      <c r="U87" s="77">
        <f>IFERROR(VLOOKUP(N87,'2026 iyul humo'!A:D,4,0),"0")/1000</f>
        <v>2646.55</v>
      </c>
      <c r="V87" s="77"/>
      <c r="W87" s="77"/>
      <c r="X87" s="77"/>
      <c r="Y87" s="77"/>
      <c r="Z87" s="77"/>
      <c r="AA87" s="162">
        <f t="shared" si="2"/>
        <v>28040.899999999998</v>
      </c>
      <c r="AB87" s="162"/>
      <c r="AC87" s="162"/>
      <c r="AD87" s="71" t="s">
        <v>1505</v>
      </c>
      <c r="AE87" s="77">
        <v>62805331</v>
      </c>
    </row>
    <row r="88" spans="1:31">
      <c r="A88" s="71" t="s">
        <v>113</v>
      </c>
      <c r="B88" s="72" t="s">
        <v>1759</v>
      </c>
      <c r="C88" s="68" t="s">
        <v>13</v>
      </c>
      <c r="D88" s="73" t="s">
        <v>1243</v>
      </c>
      <c r="E88" s="105" t="s">
        <v>364</v>
      </c>
      <c r="F88" s="79" t="s">
        <v>376</v>
      </c>
      <c r="G88" s="116" t="s">
        <v>522</v>
      </c>
      <c r="H88" s="98" t="s">
        <v>1773</v>
      </c>
      <c r="I88" s="67">
        <v>1848</v>
      </c>
      <c r="J88" s="112" t="s">
        <v>1457</v>
      </c>
      <c r="K88" s="71" t="s">
        <v>1109</v>
      </c>
      <c r="L88" s="71" t="s">
        <v>1106</v>
      </c>
      <c r="M88" s="121" t="s">
        <v>1477</v>
      </c>
      <c r="N88" s="122">
        <v>39593</v>
      </c>
      <c r="O88" s="76">
        <f>VLOOKUP(N88,Uzcard!C:P,4,0)</f>
        <v>0</v>
      </c>
      <c r="P88" s="76">
        <f>VLOOKUP(N88,Uzcard!C:P,6,0)</f>
        <v>0</v>
      </c>
      <c r="Q88" s="76">
        <f>VLOOKUP(N88,Uzcard!C:P,8,0)</f>
        <v>0</v>
      </c>
      <c r="R88" s="76">
        <f>VLOOKUP(N88,Uzcard!C:P,10,0)</f>
        <v>0</v>
      </c>
      <c r="S88" s="76">
        <f>VLOOKUP(N88,Uzcard!C:P,12,0)</f>
        <v>0</v>
      </c>
      <c r="T88" s="76">
        <f>VLOOKUP(N88,Uzcard!C:P,14,0)</f>
        <v>0</v>
      </c>
      <c r="U88" s="172">
        <f>IFERROR(VLOOKUP(N88,'2026 iyul uzcard'!A:D,3,0),"0")/1000</f>
        <v>4545.8500000000004</v>
      </c>
      <c r="V88" s="172"/>
      <c r="W88" s="172"/>
      <c r="X88" s="172"/>
      <c r="Y88" s="172"/>
      <c r="Z88" s="172"/>
      <c r="AA88" s="162">
        <f t="shared" si="2"/>
        <v>4545.8500000000004</v>
      </c>
      <c r="AB88" s="162"/>
      <c r="AC88" s="162"/>
      <c r="AD88" s="71" t="s">
        <v>1548</v>
      </c>
      <c r="AE88" s="77">
        <v>168243023</v>
      </c>
    </row>
    <row r="89" spans="1:31">
      <c r="A89" s="71" t="s">
        <v>114</v>
      </c>
      <c r="B89" s="72" t="s">
        <v>1759</v>
      </c>
      <c r="C89" s="68" t="s">
        <v>13</v>
      </c>
      <c r="D89" s="73" t="s">
        <v>1243</v>
      </c>
      <c r="E89" s="83" t="s">
        <v>364</v>
      </c>
      <c r="F89" s="84" t="s">
        <v>1162</v>
      </c>
      <c r="G89" s="116" t="s">
        <v>522</v>
      </c>
      <c r="H89" s="1" t="s">
        <v>1780</v>
      </c>
      <c r="I89" s="67">
        <v>1128.7</v>
      </c>
      <c r="J89" s="79" t="s">
        <v>1401</v>
      </c>
      <c r="K89" s="71" t="s">
        <v>1402</v>
      </c>
      <c r="L89" s="71" t="s">
        <v>1106</v>
      </c>
      <c r="M89" s="71">
        <v>90110037956</v>
      </c>
      <c r="N89" s="75">
        <v>39841</v>
      </c>
      <c r="O89" s="76">
        <f>VLOOKUP(N89,Uzcard!C:P,4,0)</f>
        <v>0</v>
      </c>
      <c r="P89" s="76">
        <f>VLOOKUP(N89,Uzcard!C:P,6,0)</f>
        <v>0</v>
      </c>
      <c r="Q89" s="76">
        <f>VLOOKUP(N89,Uzcard!C:P,8,0)</f>
        <v>0</v>
      </c>
      <c r="R89" s="76">
        <f>VLOOKUP(N89,Uzcard!C:P,10,0)</f>
        <v>0</v>
      </c>
      <c r="S89" s="76">
        <f>VLOOKUP(N89,Uzcard!C:P,12,0)</f>
        <v>0</v>
      </c>
      <c r="T89" s="76">
        <f>VLOOKUP(N89,Uzcard!C:P,14,0)</f>
        <v>2860.85</v>
      </c>
      <c r="U89" s="172">
        <f>IFERROR(VLOOKUP(N89,'2026 iyul uzcard'!A:D,3,0),"0")/1000</f>
        <v>5159.3500000000004</v>
      </c>
      <c r="V89" s="172"/>
      <c r="W89" s="172"/>
      <c r="X89" s="172"/>
      <c r="Y89" s="172"/>
      <c r="Z89" s="172"/>
      <c r="AA89" s="162">
        <f t="shared" si="2"/>
        <v>8020.2000000000007</v>
      </c>
      <c r="AB89" s="162"/>
      <c r="AC89" s="162"/>
      <c r="AD89" s="71" t="s">
        <v>1501</v>
      </c>
      <c r="AE89" s="77">
        <v>362504800</v>
      </c>
    </row>
    <row r="90" spans="1:31" s="89" customFormat="1">
      <c r="A90" s="71" t="s">
        <v>115</v>
      </c>
      <c r="B90" s="72" t="s">
        <v>1759</v>
      </c>
      <c r="C90" s="69" t="s">
        <v>13</v>
      </c>
      <c r="D90" s="123" t="s">
        <v>1096</v>
      </c>
      <c r="E90" s="79" t="s">
        <v>370</v>
      </c>
      <c r="F90" s="123" t="s">
        <v>475</v>
      </c>
      <c r="G90" s="123" t="s">
        <v>522</v>
      </c>
      <c r="H90" s="99" t="s">
        <v>1773</v>
      </c>
      <c r="I90" s="67">
        <v>1848</v>
      </c>
      <c r="J90" s="79" t="s">
        <v>1112</v>
      </c>
      <c r="K90" s="79" t="s">
        <v>1113</v>
      </c>
      <c r="L90" s="79" t="s">
        <v>1114</v>
      </c>
      <c r="M90" s="79" t="s">
        <v>1115</v>
      </c>
      <c r="N90" s="109" t="s">
        <v>1116</v>
      </c>
      <c r="O90" s="76">
        <f>VLOOKUP(N90,Humo!C:P,4,0)</f>
        <v>5207.3999999999996</v>
      </c>
      <c r="P90" s="77">
        <f>VLOOKUP(N90,Humo!C:P,6,0)</f>
        <v>3282</v>
      </c>
      <c r="Q90" s="77">
        <f>VLOOKUP(N90,Humo!C:P,8,0)</f>
        <v>0</v>
      </c>
      <c r="R90" s="77">
        <f>VLOOKUP(N90,Humo!C:P,10,0)</f>
        <v>0</v>
      </c>
      <c r="S90" s="77">
        <f>VLOOKUP(N90,Humo!C:P,12,0)</f>
        <v>4487.8</v>
      </c>
      <c r="T90" s="77">
        <f>VLOOKUP(N90,Humo!C:P,14,0)</f>
        <v>7228.9</v>
      </c>
      <c r="U90" s="77">
        <f>IFERROR(VLOOKUP(N90,'2026 iyul humo'!A:D,4,0),"0")/1000</f>
        <v>10902.95</v>
      </c>
      <c r="V90" s="77"/>
      <c r="W90" s="77"/>
      <c r="X90" s="77"/>
      <c r="Y90" s="77"/>
      <c r="Z90" s="77"/>
      <c r="AA90" s="162">
        <f t="shared" si="2"/>
        <v>31109.05</v>
      </c>
      <c r="AB90" s="162"/>
      <c r="AC90" s="162"/>
      <c r="AD90" s="79" t="s">
        <v>1561</v>
      </c>
      <c r="AE90" s="88">
        <v>105827950</v>
      </c>
    </row>
    <row r="91" spans="1:31">
      <c r="A91" s="71" t="s">
        <v>116</v>
      </c>
      <c r="B91" s="72" t="s">
        <v>1759</v>
      </c>
      <c r="C91" s="68" t="s">
        <v>13</v>
      </c>
      <c r="D91" s="123" t="s">
        <v>1096</v>
      </c>
      <c r="E91" s="79" t="s">
        <v>364</v>
      </c>
      <c r="F91" s="123" t="s">
        <v>475</v>
      </c>
      <c r="G91" s="123" t="s">
        <v>522</v>
      </c>
      <c r="H91" s="124" t="s">
        <v>1780</v>
      </c>
      <c r="I91" s="67">
        <v>1128.7</v>
      </c>
      <c r="J91" s="79" t="s">
        <v>1117</v>
      </c>
      <c r="K91" s="71" t="s">
        <v>1118</v>
      </c>
      <c r="L91" s="71" t="s">
        <v>1114</v>
      </c>
      <c r="M91" s="71" t="s">
        <v>1119</v>
      </c>
      <c r="N91" s="75">
        <v>25743</v>
      </c>
      <c r="O91" s="76">
        <f>VLOOKUP(N91,Uzcard!C:P,4,0)</f>
        <v>10261.5</v>
      </c>
      <c r="P91" s="76">
        <f>VLOOKUP(N91,Uzcard!C:P,6,0)</f>
        <v>13145.8</v>
      </c>
      <c r="Q91" s="76">
        <f>VLOOKUP(N91,Uzcard!C:P,8,0)</f>
        <v>15934.1</v>
      </c>
      <c r="R91" s="76">
        <f>VLOOKUP(N91,Uzcard!C:P,10,0)</f>
        <v>19376.95</v>
      </c>
      <c r="S91" s="76">
        <f>VLOOKUP(N91,Uzcard!C:P,12,0)</f>
        <v>15984.1</v>
      </c>
      <c r="T91" s="76">
        <f>VLOOKUP(N91,Uzcard!C:P,14,0)</f>
        <v>19289.95</v>
      </c>
      <c r="U91" s="172">
        <f>IFERROR(VLOOKUP(N91,'2026 iyul uzcard'!A:D,3,0),"0")/1000</f>
        <v>12117.55</v>
      </c>
      <c r="V91" s="172"/>
      <c r="W91" s="172"/>
      <c r="X91" s="172"/>
      <c r="Y91" s="172"/>
      <c r="Z91" s="172"/>
      <c r="AA91" s="162">
        <f t="shared" si="2"/>
        <v>106109.95000000001</v>
      </c>
      <c r="AB91" s="162"/>
      <c r="AC91" s="162"/>
      <c r="AD91" s="71" t="s">
        <v>1561</v>
      </c>
      <c r="AE91" s="77">
        <v>144808312</v>
      </c>
    </row>
    <row r="92" spans="1:31">
      <c r="A92" s="71" t="s">
        <v>117</v>
      </c>
      <c r="B92" s="72" t="s">
        <v>1759</v>
      </c>
      <c r="C92" s="68" t="s">
        <v>13</v>
      </c>
      <c r="D92" s="123" t="s">
        <v>1097</v>
      </c>
      <c r="E92" s="79" t="s">
        <v>370</v>
      </c>
      <c r="F92" s="79" t="s">
        <v>371</v>
      </c>
      <c r="G92" s="123" t="s">
        <v>522</v>
      </c>
      <c r="H92" s="99" t="s">
        <v>1773</v>
      </c>
      <c r="I92" s="67">
        <v>1848</v>
      </c>
      <c r="J92" s="125" t="s">
        <v>1479</v>
      </c>
      <c r="K92" s="71" t="s">
        <v>1120</v>
      </c>
      <c r="L92" s="71" t="s">
        <v>1121</v>
      </c>
      <c r="M92" s="71" t="s">
        <v>1122</v>
      </c>
      <c r="N92" s="75" t="s">
        <v>1123</v>
      </c>
      <c r="O92" s="76">
        <f>VLOOKUP(N92,Humo!C:P,4,0)</f>
        <v>13678.5</v>
      </c>
      <c r="P92" s="77">
        <f>VLOOKUP(N92,Humo!C:P,6,0)</f>
        <v>19214.099999999999</v>
      </c>
      <c r="Q92" s="77">
        <f>VLOOKUP(N92,Humo!C:P,8,0)</f>
        <v>17741.7</v>
      </c>
      <c r="R92" s="77">
        <f>VLOOKUP(N92,Humo!C:P,10,0)</f>
        <v>14792</v>
      </c>
      <c r="S92" s="77">
        <f>VLOOKUP(N92,Humo!C:P,12,0)</f>
        <v>21550.3</v>
      </c>
      <c r="T92" s="77">
        <f>VLOOKUP(N92,Humo!C:P,14,0)</f>
        <v>18064.2</v>
      </c>
      <c r="U92" s="77">
        <f>IFERROR(VLOOKUP(N92,'2026 iyul humo'!A:D,4,0),"0")/1000</f>
        <v>16298.05</v>
      </c>
      <c r="V92" s="77"/>
      <c r="W92" s="77"/>
      <c r="X92" s="77"/>
      <c r="Y92" s="77"/>
      <c r="Z92" s="77"/>
      <c r="AA92" s="162">
        <f t="shared" si="2"/>
        <v>121338.85</v>
      </c>
      <c r="AB92" s="162"/>
      <c r="AC92" s="162"/>
      <c r="AD92" s="71" t="s">
        <v>1505</v>
      </c>
      <c r="AE92" s="77">
        <v>62805331</v>
      </c>
    </row>
    <row r="93" spans="1:31">
      <c r="A93" s="71" t="s">
        <v>118</v>
      </c>
      <c r="B93" s="72" t="s">
        <v>1759</v>
      </c>
      <c r="C93" s="68" t="s">
        <v>13</v>
      </c>
      <c r="D93" s="123" t="s">
        <v>1097</v>
      </c>
      <c r="E93" s="79" t="s">
        <v>364</v>
      </c>
      <c r="F93" s="123" t="s">
        <v>474</v>
      </c>
      <c r="G93" s="123" t="s">
        <v>491</v>
      </c>
      <c r="H93" s="123"/>
      <c r="I93" s="123"/>
      <c r="J93" s="79" t="s">
        <v>1124</v>
      </c>
      <c r="K93" s="71" t="s">
        <v>1125</v>
      </c>
      <c r="L93" s="71" t="s">
        <v>1121</v>
      </c>
      <c r="M93" s="71" t="s">
        <v>1126</v>
      </c>
      <c r="N93" s="75">
        <v>19192</v>
      </c>
      <c r="O93" s="76">
        <f>VLOOKUP(N93,Uzcard!C:P,4,0)</f>
        <v>0</v>
      </c>
      <c r="P93" s="76">
        <f>VLOOKUP(N93,Uzcard!C:P,6,0)</f>
        <v>0</v>
      </c>
      <c r="Q93" s="76">
        <f>VLOOKUP(N93,Uzcard!C:P,8,0)</f>
        <v>0</v>
      </c>
      <c r="R93" s="76">
        <f>VLOOKUP(N93,Uzcard!C:P,10,0)</f>
        <v>0</v>
      </c>
      <c r="S93" s="76">
        <f>VLOOKUP(N93,Uzcard!C:P,12,0)</f>
        <v>0</v>
      </c>
      <c r="T93" s="76">
        <f>VLOOKUP(N93,Uzcard!C:P,14,0)</f>
        <v>0</v>
      </c>
      <c r="U93" s="172">
        <f>IFERROR(VLOOKUP(N93,'2026 iyul uzcard'!A:D,3,0),"0")/1000</f>
        <v>0</v>
      </c>
      <c r="V93" s="172"/>
      <c r="W93" s="172"/>
      <c r="X93" s="172"/>
      <c r="Y93" s="172"/>
      <c r="Z93" s="172"/>
      <c r="AA93" s="162">
        <f t="shared" si="2"/>
        <v>0</v>
      </c>
      <c r="AB93" s="162"/>
      <c r="AC93" s="162"/>
      <c r="AD93" s="71" t="s">
        <v>1563</v>
      </c>
      <c r="AE93" s="77">
        <v>100458192.72</v>
      </c>
    </row>
    <row r="94" spans="1:31">
      <c r="A94" s="71" t="s">
        <v>119</v>
      </c>
      <c r="B94" s="72" t="s">
        <v>1759</v>
      </c>
      <c r="C94" s="68" t="s">
        <v>13</v>
      </c>
      <c r="D94" s="116" t="s">
        <v>1098</v>
      </c>
      <c r="E94" s="71" t="s">
        <v>370</v>
      </c>
      <c r="F94" s="79" t="s">
        <v>371</v>
      </c>
      <c r="G94" s="116" t="s">
        <v>522</v>
      </c>
      <c r="H94" s="98" t="s">
        <v>1773</v>
      </c>
      <c r="I94" s="67">
        <v>1848</v>
      </c>
      <c r="J94" s="126" t="s">
        <v>1480</v>
      </c>
      <c r="K94" s="71" t="s">
        <v>1127</v>
      </c>
      <c r="L94" s="71" t="s">
        <v>1128</v>
      </c>
      <c r="M94" s="71" t="s">
        <v>1129</v>
      </c>
      <c r="N94" s="75" t="s">
        <v>1130</v>
      </c>
      <c r="O94" s="76">
        <f>VLOOKUP(N94,Humo!C:P,4,0)</f>
        <v>13734.6</v>
      </c>
      <c r="P94" s="77">
        <f>VLOOKUP(N94,Humo!C:P,6,0)</f>
        <v>18532.099999999999</v>
      </c>
      <c r="Q94" s="77">
        <f>VLOOKUP(N94,Humo!C:P,8,0)</f>
        <v>20516.400000000001</v>
      </c>
      <c r="R94" s="77">
        <f>VLOOKUP(N94,Humo!C:P,10,0)</f>
        <v>8156.8</v>
      </c>
      <c r="S94" s="77">
        <f>VLOOKUP(N94,Humo!C:P,12,0)</f>
        <v>14150.1</v>
      </c>
      <c r="T94" s="77">
        <f>VLOOKUP(N94,Humo!C:P,14,0)</f>
        <v>13261.9</v>
      </c>
      <c r="U94" s="77">
        <f>IFERROR(VLOOKUP(N94,'2026 iyul humo'!A:D,4,0),"0")/1000</f>
        <v>16048.1</v>
      </c>
      <c r="V94" s="77"/>
      <c r="W94" s="77"/>
      <c r="X94" s="77"/>
      <c r="Y94" s="77"/>
      <c r="Z94" s="77"/>
      <c r="AA94" s="162">
        <f t="shared" si="2"/>
        <v>104400</v>
      </c>
      <c r="AB94" s="162"/>
      <c r="AC94" s="162"/>
      <c r="AD94" s="71" t="s">
        <v>1549</v>
      </c>
      <c r="AE94" s="77">
        <v>62805331</v>
      </c>
    </row>
    <row r="95" spans="1:31">
      <c r="A95" s="71" t="s">
        <v>120</v>
      </c>
      <c r="B95" s="72" t="s">
        <v>1759</v>
      </c>
      <c r="C95" s="68" t="s">
        <v>13</v>
      </c>
      <c r="D95" s="123" t="s">
        <v>1099</v>
      </c>
      <c r="E95" s="79" t="s">
        <v>364</v>
      </c>
      <c r="F95" s="123" t="s">
        <v>475</v>
      </c>
      <c r="G95" s="123" t="s">
        <v>522</v>
      </c>
      <c r="H95" s="124" t="s">
        <v>1780</v>
      </c>
      <c r="I95" s="67">
        <v>1128.7</v>
      </c>
      <c r="J95" s="79" t="s">
        <v>1131</v>
      </c>
      <c r="K95" s="79" t="s">
        <v>1132</v>
      </c>
      <c r="L95" s="71" t="s">
        <v>1133</v>
      </c>
      <c r="M95" s="71" t="s">
        <v>1134</v>
      </c>
      <c r="N95" s="75">
        <v>21627</v>
      </c>
      <c r="O95" s="76">
        <f>VLOOKUP(N95,Uzcard!C:P,4,0)</f>
        <v>10003.799999999999</v>
      </c>
      <c r="P95" s="76">
        <f>VLOOKUP(N95,Uzcard!C:P,6,0)</f>
        <v>11488.9</v>
      </c>
      <c r="Q95" s="76">
        <f>VLOOKUP(N95,Uzcard!C:P,8,0)</f>
        <v>12181.35</v>
      </c>
      <c r="R95" s="76">
        <f>VLOOKUP(N95,Uzcard!C:P,10,0)</f>
        <v>9845.4500000000007</v>
      </c>
      <c r="S95" s="76">
        <f>VLOOKUP(N95,Uzcard!C:P,12,0)</f>
        <v>6793.65</v>
      </c>
      <c r="T95" s="76">
        <f>VLOOKUP(N95,Uzcard!C:P,14,0)</f>
        <v>11638.15</v>
      </c>
      <c r="U95" s="172">
        <f>IFERROR(VLOOKUP(N95,'2026 iyul uzcard'!A:D,3,0),"0")/1000</f>
        <v>10589.05</v>
      </c>
      <c r="V95" s="172"/>
      <c r="W95" s="172"/>
      <c r="X95" s="172"/>
      <c r="Y95" s="172"/>
      <c r="Z95" s="172"/>
      <c r="AA95" s="162">
        <f t="shared" si="2"/>
        <v>72540.350000000006</v>
      </c>
      <c r="AB95" s="162"/>
      <c r="AC95" s="162"/>
      <c r="AD95" s="71" t="s">
        <v>1565</v>
      </c>
      <c r="AE95" s="77">
        <v>131315497</v>
      </c>
    </row>
    <row r="96" spans="1:31">
      <c r="A96" s="71" t="s">
        <v>121</v>
      </c>
      <c r="B96" s="72" t="s">
        <v>1759</v>
      </c>
      <c r="C96" s="68" t="s">
        <v>13</v>
      </c>
      <c r="D96" s="123" t="s">
        <v>1100</v>
      </c>
      <c r="E96" s="79" t="s">
        <v>370</v>
      </c>
      <c r="F96" s="79" t="s">
        <v>371</v>
      </c>
      <c r="G96" s="123" t="s">
        <v>522</v>
      </c>
      <c r="H96" s="99" t="s">
        <v>1773</v>
      </c>
      <c r="I96" s="67">
        <v>1848</v>
      </c>
      <c r="J96" s="79" t="s">
        <v>1135</v>
      </c>
      <c r="K96" s="79" t="s">
        <v>1136</v>
      </c>
      <c r="L96" s="71" t="s">
        <v>1137</v>
      </c>
      <c r="M96" s="71" t="s">
        <v>1138</v>
      </c>
      <c r="N96" s="75" t="s">
        <v>1139</v>
      </c>
      <c r="O96" s="76">
        <f>VLOOKUP(N96,Humo!C:P,4,0)</f>
        <v>9991.7999999999993</v>
      </c>
      <c r="P96" s="77">
        <f>VLOOKUP(N96,Humo!C:P,6,0)</f>
        <v>12899.9</v>
      </c>
      <c r="Q96" s="77">
        <f>VLOOKUP(N96,Humo!C:P,8,0)</f>
        <v>15800.5</v>
      </c>
      <c r="R96" s="77">
        <f>VLOOKUP(N96,Humo!C:P,10,0)</f>
        <v>11927.8</v>
      </c>
      <c r="S96" s="77">
        <f>VLOOKUP(N96,Humo!C:P,12,0)</f>
        <v>14869.6</v>
      </c>
      <c r="T96" s="77">
        <f>VLOOKUP(N96,Humo!C:P,14,0)</f>
        <v>15837.3</v>
      </c>
      <c r="U96" s="77">
        <f>IFERROR(VLOOKUP(N96,'2026 iyul humo'!A:D,4,0),"0")/1000</f>
        <v>10941.9</v>
      </c>
      <c r="V96" s="77"/>
      <c r="W96" s="77"/>
      <c r="X96" s="77"/>
      <c r="Y96" s="77"/>
      <c r="Z96" s="77"/>
      <c r="AA96" s="162">
        <f t="shared" si="2"/>
        <v>92268.799999999988</v>
      </c>
      <c r="AB96" s="162"/>
      <c r="AC96" s="162"/>
      <c r="AD96" s="71" t="s">
        <v>1560</v>
      </c>
      <c r="AE96" s="77">
        <v>62805331</v>
      </c>
    </row>
    <row r="97" spans="1:31">
      <c r="A97" s="71" t="s">
        <v>122</v>
      </c>
      <c r="B97" s="72" t="s">
        <v>1759</v>
      </c>
      <c r="C97" s="69" t="s">
        <v>13</v>
      </c>
      <c r="D97" s="123" t="s">
        <v>1101</v>
      </c>
      <c r="E97" s="79" t="s">
        <v>364</v>
      </c>
      <c r="F97" s="123" t="s">
        <v>475</v>
      </c>
      <c r="G97" s="123" t="s">
        <v>522</v>
      </c>
      <c r="H97" s="124" t="s">
        <v>1780</v>
      </c>
      <c r="I97" s="67">
        <v>1128.7</v>
      </c>
      <c r="J97" s="79" t="s">
        <v>1140</v>
      </c>
      <c r="K97" s="71" t="s">
        <v>1141</v>
      </c>
      <c r="L97" s="71" t="s">
        <v>1142</v>
      </c>
      <c r="M97" s="71">
        <v>901124720</v>
      </c>
      <c r="N97" s="75">
        <v>25741</v>
      </c>
      <c r="O97" s="76">
        <f>VLOOKUP(N97,Uzcard!C:P,4,0)</f>
        <v>9995.15</v>
      </c>
      <c r="P97" s="76">
        <f>VLOOKUP(N97,Uzcard!C:P,6,0)</f>
        <v>10774.45</v>
      </c>
      <c r="Q97" s="76">
        <f>VLOOKUP(N97,Uzcard!C:P,8,0)</f>
        <v>13740.6</v>
      </c>
      <c r="R97" s="76">
        <f>VLOOKUP(N97,Uzcard!C:P,10,0)</f>
        <v>11097.1</v>
      </c>
      <c r="S97" s="76">
        <f>VLOOKUP(N97,Uzcard!C:P,12,0)</f>
        <v>12967.85</v>
      </c>
      <c r="T97" s="76">
        <f>VLOOKUP(N97,Uzcard!C:P,14,0)</f>
        <v>15854.7</v>
      </c>
      <c r="U97" s="172">
        <f>IFERROR(VLOOKUP(N97,'2026 iyul uzcard'!A:D,3,0),"0")/1000</f>
        <v>12993.15</v>
      </c>
      <c r="V97" s="172"/>
      <c r="W97" s="172"/>
      <c r="X97" s="172"/>
      <c r="Y97" s="172"/>
      <c r="Z97" s="172"/>
      <c r="AA97" s="162">
        <f t="shared" si="2"/>
        <v>87422.999999999985</v>
      </c>
      <c r="AB97" s="162"/>
      <c r="AC97" s="162"/>
      <c r="AD97" s="71" t="s">
        <v>1565</v>
      </c>
      <c r="AE97" s="77">
        <v>131315497</v>
      </c>
    </row>
    <row r="98" spans="1:31">
      <c r="A98" s="71" t="s">
        <v>123</v>
      </c>
      <c r="B98" s="72" t="s">
        <v>1759</v>
      </c>
      <c r="C98" s="68" t="s">
        <v>13</v>
      </c>
      <c r="D98" s="116" t="s">
        <v>1102</v>
      </c>
      <c r="E98" s="71" t="s">
        <v>370</v>
      </c>
      <c r="F98" s="79" t="s">
        <v>371</v>
      </c>
      <c r="G98" s="116" t="s">
        <v>522</v>
      </c>
      <c r="H98" s="98" t="s">
        <v>1773</v>
      </c>
      <c r="I98" s="67">
        <v>1848</v>
      </c>
      <c r="J98" s="71">
        <v>5310177568</v>
      </c>
      <c r="K98" s="71" t="s">
        <v>1143</v>
      </c>
      <c r="L98" s="71" t="s">
        <v>1144</v>
      </c>
      <c r="M98" s="71" t="s">
        <v>1145</v>
      </c>
      <c r="N98" s="75" t="s">
        <v>1146</v>
      </c>
      <c r="O98" s="76">
        <f>VLOOKUP(N98,Humo!C:P,4,0)</f>
        <v>7726.5</v>
      </c>
      <c r="P98" s="77">
        <f>VLOOKUP(N98,Humo!C:P,6,0)</f>
        <v>10089.1</v>
      </c>
      <c r="Q98" s="77">
        <f>VLOOKUP(N98,Humo!C:P,8,0)</f>
        <v>11461.5</v>
      </c>
      <c r="R98" s="77">
        <f>VLOOKUP(N98,Humo!C:P,10,0)</f>
        <v>2004.7</v>
      </c>
      <c r="S98" s="77">
        <f>VLOOKUP(N98,Humo!C:P,12,0)</f>
        <v>2087.8000000000002</v>
      </c>
      <c r="T98" s="77">
        <f>VLOOKUP(N98,Humo!C:P,14,0)</f>
        <v>12047.4</v>
      </c>
      <c r="U98" s="77">
        <f>IFERROR(VLOOKUP(N98,'2026 iyul humo'!A:D,4,0),"0")/1000</f>
        <v>5661.5</v>
      </c>
      <c r="V98" s="77"/>
      <c r="W98" s="77"/>
      <c r="X98" s="77"/>
      <c r="Y98" s="77"/>
      <c r="Z98" s="77"/>
      <c r="AA98" s="162">
        <f t="shared" si="2"/>
        <v>51078.5</v>
      </c>
      <c r="AB98" s="162"/>
      <c r="AC98" s="162"/>
      <c r="AD98" s="71" t="s">
        <v>1506</v>
      </c>
      <c r="AE98" s="77">
        <v>63098415.920000002</v>
      </c>
    </row>
    <row r="99" spans="1:31">
      <c r="A99" s="71" t="s">
        <v>124</v>
      </c>
      <c r="B99" s="72" t="s">
        <v>1759</v>
      </c>
      <c r="C99" s="68" t="s">
        <v>13</v>
      </c>
      <c r="D99" s="116" t="s">
        <v>1102</v>
      </c>
      <c r="E99" s="71" t="s">
        <v>370</v>
      </c>
      <c r="F99" s="79" t="s">
        <v>371</v>
      </c>
      <c r="G99" s="116" t="s">
        <v>522</v>
      </c>
      <c r="H99" s="98" t="s">
        <v>1773</v>
      </c>
      <c r="I99" s="67">
        <v>1848</v>
      </c>
      <c r="J99" s="126" t="s">
        <v>1481</v>
      </c>
      <c r="K99" s="71" t="s">
        <v>1147</v>
      </c>
      <c r="L99" s="71" t="s">
        <v>1144</v>
      </c>
      <c r="M99" s="71" t="s">
        <v>1148</v>
      </c>
      <c r="N99" s="75" t="s">
        <v>1149</v>
      </c>
      <c r="O99" s="76">
        <f>VLOOKUP(N99,Humo!C:P,4,0)</f>
        <v>8555.9</v>
      </c>
      <c r="P99" s="77">
        <f>VLOOKUP(N99,Humo!C:P,6,0)</f>
        <v>7364.2</v>
      </c>
      <c r="Q99" s="77">
        <f>VLOOKUP(N99,Humo!C:P,8,0)</f>
        <v>5946.7</v>
      </c>
      <c r="R99" s="77">
        <f>VLOOKUP(N99,Humo!C:P,10,0)</f>
        <v>12947.7</v>
      </c>
      <c r="S99" s="77">
        <f>VLOOKUP(N99,Humo!C:P,12,0)</f>
        <v>18465.7</v>
      </c>
      <c r="T99" s="77">
        <f>VLOOKUP(N99,Humo!C:P,14,0)</f>
        <v>10917.6</v>
      </c>
      <c r="U99" s="77">
        <f>IFERROR(VLOOKUP(N99,'2026 iyul humo'!A:D,4,0),"0")/1000</f>
        <v>6442.9</v>
      </c>
      <c r="V99" s="77"/>
      <c r="W99" s="77"/>
      <c r="X99" s="77"/>
      <c r="Y99" s="77"/>
      <c r="Z99" s="77"/>
      <c r="AA99" s="162">
        <f t="shared" si="2"/>
        <v>70640.7</v>
      </c>
      <c r="AB99" s="162"/>
      <c r="AC99" s="162"/>
      <c r="AD99" s="71" t="s">
        <v>1549</v>
      </c>
      <c r="AE99" s="77">
        <v>63098415.920000002</v>
      </c>
    </row>
    <row r="100" spans="1:31">
      <c r="A100" s="71" t="s">
        <v>125</v>
      </c>
      <c r="B100" s="72" t="s">
        <v>1759</v>
      </c>
      <c r="C100" s="68" t="s">
        <v>13</v>
      </c>
      <c r="D100" s="116" t="s">
        <v>1103</v>
      </c>
      <c r="E100" s="71" t="s">
        <v>364</v>
      </c>
      <c r="F100" s="123" t="s">
        <v>475</v>
      </c>
      <c r="G100" s="116" t="s">
        <v>522</v>
      </c>
      <c r="H100" s="90" t="s">
        <v>1780</v>
      </c>
      <c r="I100" s="67">
        <v>1128.7</v>
      </c>
      <c r="J100" s="71" t="s">
        <v>1150</v>
      </c>
      <c r="K100" s="71" t="s">
        <v>1151</v>
      </c>
      <c r="L100" s="71" t="s">
        <v>1152</v>
      </c>
      <c r="M100" s="71">
        <v>901120481</v>
      </c>
      <c r="N100" s="75">
        <v>21403</v>
      </c>
      <c r="O100" s="76">
        <f>VLOOKUP(N100,Uzcard!C:P,4,0)</f>
        <v>8458.15</v>
      </c>
      <c r="P100" s="76">
        <f>VLOOKUP(N100,Uzcard!C:P,6,0)</f>
        <v>15496.95</v>
      </c>
      <c r="Q100" s="76">
        <f>VLOOKUP(N100,Uzcard!C:P,8,0)</f>
        <v>12432.9</v>
      </c>
      <c r="R100" s="76">
        <f>VLOOKUP(N100,Uzcard!C:P,10,0)</f>
        <v>4816.6000000000004</v>
      </c>
      <c r="S100" s="76">
        <f>VLOOKUP(N100,Uzcard!C:P,12,0)</f>
        <v>9644.4</v>
      </c>
      <c r="T100" s="76">
        <f>VLOOKUP(N100,Uzcard!C:P,14,0)</f>
        <v>14500.45</v>
      </c>
      <c r="U100" s="172">
        <f>IFERROR(VLOOKUP(N100,'2026 iyul uzcard'!A:D,3,0),"0")/1000</f>
        <v>7855.95</v>
      </c>
      <c r="V100" s="172"/>
      <c r="W100" s="172"/>
      <c r="X100" s="172"/>
      <c r="Y100" s="172"/>
      <c r="Z100" s="172"/>
      <c r="AA100" s="162">
        <f t="shared" si="2"/>
        <v>73205.399999999994</v>
      </c>
      <c r="AB100" s="162"/>
      <c r="AC100" s="162"/>
      <c r="AD100" s="71" t="s">
        <v>1561</v>
      </c>
      <c r="AE100" s="77">
        <v>144808312</v>
      </c>
    </row>
    <row r="101" spans="1:31">
      <c r="A101" s="71" t="s">
        <v>126</v>
      </c>
      <c r="B101" s="72" t="s">
        <v>1759</v>
      </c>
      <c r="C101" s="68" t="s">
        <v>13</v>
      </c>
      <c r="D101" s="116" t="s">
        <v>1104</v>
      </c>
      <c r="E101" s="71" t="s">
        <v>364</v>
      </c>
      <c r="F101" s="123" t="s">
        <v>474</v>
      </c>
      <c r="G101" s="116" t="s">
        <v>522</v>
      </c>
      <c r="H101" s="116"/>
      <c r="I101" s="116"/>
      <c r="J101" s="71" t="s">
        <v>1153</v>
      </c>
      <c r="K101" s="71" t="s">
        <v>1154</v>
      </c>
      <c r="L101" s="71" t="s">
        <v>1155</v>
      </c>
      <c r="M101" s="71" t="s">
        <v>1156</v>
      </c>
      <c r="N101" s="75">
        <v>18158</v>
      </c>
      <c r="O101" s="76">
        <f>VLOOKUP(N101,Uzcard!C:P,4,0)</f>
        <v>2639.6</v>
      </c>
      <c r="P101" s="76">
        <f>VLOOKUP(N101,Uzcard!C:P,6,0)</f>
        <v>854.9</v>
      </c>
      <c r="Q101" s="76">
        <f>VLOOKUP(N101,Uzcard!C:P,8,0)</f>
        <v>1687.7</v>
      </c>
      <c r="R101" s="76">
        <f>VLOOKUP(N101,Uzcard!C:P,10,0)</f>
        <v>1380.45</v>
      </c>
      <c r="S101" s="76">
        <f>VLOOKUP(N101,Uzcard!C:P,12,0)</f>
        <v>2394.5500000000002</v>
      </c>
      <c r="T101" s="76">
        <f>VLOOKUP(N101,Uzcard!C:P,14,0)</f>
        <v>1907.75</v>
      </c>
      <c r="U101" s="172">
        <f>IFERROR(VLOOKUP(N101,'2026 iyul uzcard'!A:D,3,0),"0")/1000</f>
        <v>577.45000000000005</v>
      </c>
      <c r="V101" s="172"/>
      <c r="W101" s="172"/>
      <c r="X101" s="172"/>
      <c r="Y101" s="172"/>
      <c r="Z101" s="172"/>
      <c r="AA101" s="162">
        <f t="shared" si="2"/>
        <v>11442.400000000001</v>
      </c>
      <c r="AB101" s="162"/>
      <c r="AC101" s="162"/>
      <c r="AD101" s="71" t="s">
        <v>1562</v>
      </c>
      <c r="AE101" s="77">
        <v>100458192.72</v>
      </c>
    </row>
    <row r="102" spans="1:31">
      <c r="A102" s="71" t="s">
        <v>127</v>
      </c>
      <c r="B102" s="72" t="s">
        <v>1759</v>
      </c>
      <c r="C102" s="68" t="s">
        <v>13</v>
      </c>
      <c r="D102" s="116" t="s">
        <v>24</v>
      </c>
      <c r="E102" s="71" t="s">
        <v>364</v>
      </c>
      <c r="F102" s="123" t="s">
        <v>474</v>
      </c>
      <c r="G102" s="116" t="s">
        <v>491</v>
      </c>
      <c r="H102" s="116"/>
      <c r="I102" s="116"/>
      <c r="J102" s="127" t="s">
        <v>1689</v>
      </c>
      <c r="K102" s="71" t="s">
        <v>1157</v>
      </c>
      <c r="L102" s="71" t="s">
        <v>1106</v>
      </c>
      <c r="M102" s="71" t="s">
        <v>1158</v>
      </c>
      <c r="N102" s="75">
        <v>15042</v>
      </c>
      <c r="O102" s="76">
        <f>VLOOKUP(N102,Uzcard!C:P,4,0)</f>
        <v>0</v>
      </c>
      <c r="P102" s="76">
        <f>VLOOKUP(N102,Uzcard!C:P,6,0)</f>
        <v>0</v>
      </c>
      <c r="Q102" s="76">
        <f>VLOOKUP(N102,Uzcard!C:P,8,0)</f>
        <v>0</v>
      </c>
      <c r="R102" s="76">
        <f>VLOOKUP(N102,Uzcard!C:P,10,0)</f>
        <v>0</v>
      </c>
      <c r="S102" s="76">
        <f>VLOOKUP(N102,Uzcard!C:P,12,0)</f>
        <v>0</v>
      </c>
      <c r="T102" s="76">
        <f>VLOOKUP(N102,Uzcard!C:P,14,0)</f>
        <v>0</v>
      </c>
      <c r="U102" s="172">
        <f>IFERROR(VLOOKUP(N102,'2026 iyul uzcard'!A:D,3,0),"0")/1000</f>
        <v>0</v>
      </c>
      <c r="V102" s="172"/>
      <c r="W102" s="172"/>
      <c r="X102" s="172"/>
      <c r="Y102" s="172"/>
      <c r="Z102" s="172"/>
      <c r="AA102" s="162">
        <f t="shared" si="2"/>
        <v>0</v>
      </c>
      <c r="AB102" s="162"/>
      <c r="AC102" s="162"/>
      <c r="AD102" s="71" t="s">
        <v>1564</v>
      </c>
      <c r="AE102" s="77">
        <v>108319139.8</v>
      </c>
    </row>
    <row r="103" spans="1:31">
      <c r="A103" s="71" t="s">
        <v>128</v>
      </c>
      <c r="B103" s="72" t="s">
        <v>1759</v>
      </c>
      <c r="C103" s="68" t="s">
        <v>13</v>
      </c>
      <c r="D103" s="116" t="s">
        <v>24</v>
      </c>
      <c r="E103" s="71" t="s">
        <v>364</v>
      </c>
      <c r="F103" s="123" t="s">
        <v>474</v>
      </c>
      <c r="G103" s="116" t="s">
        <v>491</v>
      </c>
      <c r="H103" s="116"/>
      <c r="I103" s="116"/>
      <c r="J103" s="127" t="s">
        <v>1689</v>
      </c>
      <c r="K103" s="71" t="s">
        <v>1159</v>
      </c>
      <c r="L103" s="71" t="s">
        <v>1106</v>
      </c>
      <c r="M103" s="71" t="s">
        <v>1160</v>
      </c>
      <c r="N103" s="75">
        <v>15046</v>
      </c>
      <c r="O103" s="76">
        <f>VLOOKUP(N103,Uzcard!C:P,4,0)</f>
        <v>0</v>
      </c>
      <c r="P103" s="76">
        <f>VLOOKUP(N103,Uzcard!C:P,6,0)</f>
        <v>0</v>
      </c>
      <c r="Q103" s="76">
        <f>VLOOKUP(N103,Uzcard!C:P,8,0)</f>
        <v>0</v>
      </c>
      <c r="R103" s="76">
        <f>VLOOKUP(N103,Uzcard!C:P,10,0)</f>
        <v>0</v>
      </c>
      <c r="S103" s="76">
        <f>VLOOKUP(N103,Uzcard!C:P,12,0)</f>
        <v>0</v>
      </c>
      <c r="T103" s="76">
        <f>VLOOKUP(N103,Uzcard!C:P,14,0)</f>
        <v>0</v>
      </c>
      <c r="U103" s="172">
        <f>IFERROR(VLOOKUP(N103,'2026 iyul uzcard'!A:D,3,0),"0")/1000</f>
        <v>0</v>
      </c>
      <c r="V103" s="172"/>
      <c r="W103" s="172"/>
      <c r="X103" s="172"/>
      <c r="Y103" s="172"/>
      <c r="Z103" s="172"/>
      <c r="AA103" s="162">
        <f t="shared" si="2"/>
        <v>0</v>
      </c>
      <c r="AB103" s="162"/>
      <c r="AC103" s="162"/>
      <c r="AD103" s="71" t="s">
        <v>1564</v>
      </c>
      <c r="AE103" s="77">
        <v>108319139.8</v>
      </c>
    </row>
    <row r="104" spans="1:31">
      <c r="A104" s="71" t="s">
        <v>129</v>
      </c>
      <c r="B104" s="72" t="s">
        <v>1759</v>
      </c>
      <c r="C104" s="68" t="s">
        <v>13</v>
      </c>
      <c r="D104" s="116" t="s">
        <v>24</v>
      </c>
      <c r="E104" s="96" t="s">
        <v>381</v>
      </c>
      <c r="F104" s="93" t="s">
        <v>382</v>
      </c>
      <c r="G104" s="94" t="s">
        <v>491</v>
      </c>
      <c r="H104" s="94"/>
      <c r="I104" s="94"/>
      <c r="J104" s="79">
        <v>1018258</v>
      </c>
      <c r="K104" s="71" t="s">
        <v>1161</v>
      </c>
      <c r="L104" s="71" t="s">
        <v>1106</v>
      </c>
      <c r="M104" s="83" t="s">
        <v>1403</v>
      </c>
      <c r="N104" s="85" t="s">
        <v>1403</v>
      </c>
      <c r="O104" s="76">
        <f>IFERROR(VLOOKUP(N104,'2026 yanvar vash'!A:D,4,0),"0")/1000</f>
        <v>0</v>
      </c>
      <c r="P104" s="173">
        <f>IFERROR(VLOOKUP(N104,'2026 fevral vash'!A:D,4,0),"0")/1000</f>
        <v>0</v>
      </c>
      <c r="Q104" s="173">
        <f>IFERROR(VLOOKUP(N104,'2026 mart vash'!A:D,4,0),"0")/1000</f>
        <v>0</v>
      </c>
      <c r="R104" s="173">
        <f>IFERROR(VLOOKUP(N104,'2026 aprel vash'!A:D,4,0),"0")/1000</f>
        <v>0</v>
      </c>
      <c r="S104" s="173">
        <f>IFERROR(VLOOKUP(N104,'2026 may vash'!A:D,4,0),"0")/1000</f>
        <v>0</v>
      </c>
      <c r="T104" s="173">
        <f>IFERROR(VLOOKUP(N104,'2026 iyun vash'!A:D,4,0),"0")/1000</f>
        <v>0</v>
      </c>
      <c r="U104" s="173">
        <f>IFERROR(VLOOKUP(N104,'2026 iyul vash'!A:D,4,0),"0")/1000</f>
        <v>0</v>
      </c>
      <c r="V104" s="173"/>
      <c r="W104" s="173"/>
      <c r="X104" s="173"/>
      <c r="Y104" s="173"/>
      <c r="Z104" s="173"/>
      <c r="AA104" s="162">
        <f t="shared" si="2"/>
        <v>0</v>
      </c>
      <c r="AB104" s="162"/>
      <c r="AC104" s="162"/>
      <c r="AD104" s="71" t="s">
        <v>1559</v>
      </c>
      <c r="AE104" s="77">
        <v>171904842.81999999</v>
      </c>
    </row>
    <row r="105" spans="1:31">
      <c r="A105" s="71" t="s">
        <v>130</v>
      </c>
      <c r="B105" s="72" t="s">
        <v>1759</v>
      </c>
      <c r="C105" s="68" t="s">
        <v>13</v>
      </c>
      <c r="D105" s="116" t="s">
        <v>24</v>
      </c>
      <c r="E105" s="96" t="s">
        <v>381</v>
      </c>
      <c r="F105" s="93" t="s">
        <v>382</v>
      </c>
      <c r="G105" s="94" t="s">
        <v>491</v>
      </c>
      <c r="H105" s="94"/>
      <c r="I105" s="94"/>
      <c r="J105" s="79">
        <v>1518258</v>
      </c>
      <c r="K105" s="71" t="s">
        <v>1110</v>
      </c>
      <c r="L105" s="71" t="s">
        <v>1106</v>
      </c>
      <c r="M105" s="71" t="s">
        <v>1111</v>
      </c>
      <c r="N105" s="75" t="s">
        <v>1111</v>
      </c>
      <c r="O105" s="76">
        <f>IFERROR(VLOOKUP(N105,'2026 yanvar vash'!A:D,4,0),"0")/1000</f>
        <v>0</v>
      </c>
      <c r="P105" s="173">
        <f>IFERROR(VLOOKUP(N105,'2026 fevral vash'!A:D,4,0),"0")/1000</f>
        <v>0</v>
      </c>
      <c r="Q105" s="173">
        <f>IFERROR(VLOOKUP(N105,'2026 mart vash'!A:D,4,0),"0")/1000</f>
        <v>0</v>
      </c>
      <c r="R105" s="173">
        <f>IFERROR(VLOOKUP(N105,'2026 aprel vash'!A:D,4,0),"0")/1000</f>
        <v>0</v>
      </c>
      <c r="S105" s="173">
        <f>IFERROR(VLOOKUP(N105,'2026 may vash'!A:D,4,0),"0")/1000</f>
        <v>0</v>
      </c>
      <c r="T105" s="173">
        <f>IFERROR(VLOOKUP(N105,'2026 iyun vash'!A:D,4,0),"0")/1000</f>
        <v>0</v>
      </c>
      <c r="U105" s="173">
        <f>IFERROR(VLOOKUP(N105,'2026 iyul vash'!A:D,4,0),"0")/1000</f>
        <v>0</v>
      </c>
      <c r="V105" s="173"/>
      <c r="W105" s="173"/>
      <c r="X105" s="173"/>
      <c r="Y105" s="173"/>
      <c r="Z105" s="173"/>
      <c r="AA105" s="162">
        <f t="shared" si="2"/>
        <v>0</v>
      </c>
      <c r="AB105" s="162"/>
      <c r="AC105" s="162"/>
      <c r="AD105" s="71" t="s">
        <v>1559</v>
      </c>
      <c r="AE105" s="77">
        <v>171904842.81999999</v>
      </c>
    </row>
    <row r="106" spans="1:31">
      <c r="A106" s="71" t="s">
        <v>131</v>
      </c>
      <c r="B106" s="72" t="s">
        <v>1760</v>
      </c>
      <c r="C106" s="68" t="s">
        <v>14</v>
      </c>
      <c r="D106" s="83" t="s">
        <v>1243</v>
      </c>
      <c r="E106" s="71" t="s">
        <v>370</v>
      </c>
      <c r="F106" s="79" t="s">
        <v>371</v>
      </c>
      <c r="G106" s="128" t="s">
        <v>522</v>
      </c>
      <c r="H106" s="128"/>
      <c r="I106" s="128"/>
      <c r="J106" s="129" t="s">
        <v>1471</v>
      </c>
      <c r="K106" s="71" t="s">
        <v>752</v>
      </c>
      <c r="L106" s="71" t="s">
        <v>751</v>
      </c>
      <c r="M106" s="71" t="s">
        <v>753</v>
      </c>
      <c r="N106" s="75" t="s">
        <v>754</v>
      </c>
      <c r="O106" s="76">
        <f>VLOOKUP(N106,Humo!C:P,4,0)</f>
        <v>0</v>
      </c>
      <c r="P106" s="77">
        <f>VLOOKUP(N106,Humo!C:P,6,0)</f>
        <v>0</v>
      </c>
      <c r="Q106" s="77">
        <f>VLOOKUP(N106,Humo!C:P,8,0)</f>
        <v>0</v>
      </c>
      <c r="R106" s="77">
        <f>VLOOKUP(N106,Humo!C:P,10,0)</f>
        <v>0</v>
      </c>
      <c r="S106" s="77">
        <f>VLOOKUP(N106,Humo!C:P,12,0)</f>
        <v>3405.9</v>
      </c>
      <c r="T106" s="77">
        <f>VLOOKUP(N106,Humo!C:P,14,0)</f>
        <v>3357.1</v>
      </c>
      <c r="U106" s="77">
        <f>IFERROR(VLOOKUP(N106,'2026 iyul humo'!A:D,4,0),"0")/1000</f>
        <v>3872.8</v>
      </c>
      <c r="V106" s="77"/>
      <c r="W106" s="77"/>
      <c r="X106" s="77"/>
      <c r="Y106" s="77"/>
      <c r="Z106" s="77"/>
      <c r="AA106" s="162">
        <f t="shared" si="2"/>
        <v>10635.8</v>
      </c>
      <c r="AB106" s="162"/>
      <c r="AC106" s="162"/>
      <c r="AD106" s="71" t="s">
        <v>1569</v>
      </c>
      <c r="AE106" s="77">
        <v>63098415.920000002</v>
      </c>
    </row>
    <row r="107" spans="1:31">
      <c r="A107" s="71" t="s">
        <v>132</v>
      </c>
      <c r="B107" s="72" t="s">
        <v>1760</v>
      </c>
      <c r="C107" s="68" t="s">
        <v>14</v>
      </c>
      <c r="D107" s="83" t="s">
        <v>1243</v>
      </c>
      <c r="E107" s="71" t="s">
        <v>370</v>
      </c>
      <c r="F107" s="79" t="s">
        <v>376</v>
      </c>
      <c r="G107" s="128" t="s">
        <v>522</v>
      </c>
      <c r="H107" s="98" t="s">
        <v>1773</v>
      </c>
      <c r="I107" s="67">
        <v>1848</v>
      </c>
      <c r="J107" s="130" t="s">
        <v>931</v>
      </c>
      <c r="K107" s="71" t="s">
        <v>755</v>
      </c>
      <c r="L107" s="71" t="s">
        <v>751</v>
      </c>
      <c r="M107" s="71" t="s">
        <v>756</v>
      </c>
      <c r="N107" s="75" t="s">
        <v>757</v>
      </c>
      <c r="O107" s="76">
        <f>VLOOKUP(N107,Humo!C:P,4,0)</f>
        <v>11426.9</v>
      </c>
      <c r="P107" s="77">
        <f>VLOOKUP(N107,Humo!C:P,6,0)</f>
        <v>8417.1</v>
      </c>
      <c r="Q107" s="77">
        <f>VLOOKUP(N107,Humo!C:P,8,0)</f>
        <v>8300.2000000000007</v>
      </c>
      <c r="R107" s="77">
        <f>VLOOKUP(N107,Humo!C:P,10,0)</f>
        <v>5210.3</v>
      </c>
      <c r="S107" s="77">
        <f>VLOOKUP(N107,Humo!C:P,12,0)</f>
        <v>6427.8</v>
      </c>
      <c r="T107" s="77">
        <f>VLOOKUP(N107,Humo!C:P,14,0)</f>
        <v>9589.7999999999993</v>
      </c>
      <c r="U107" s="77">
        <f>IFERROR(VLOOKUP(N107,'2026 iyul humo'!A:D,4,0),"0")/1000</f>
        <v>7199.2</v>
      </c>
      <c r="V107" s="77"/>
      <c r="W107" s="77"/>
      <c r="X107" s="77"/>
      <c r="Y107" s="77"/>
      <c r="Z107" s="77"/>
      <c r="AA107" s="162">
        <f t="shared" si="2"/>
        <v>56571.3</v>
      </c>
      <c r="AB107" s="162"/>
      <c r="AC107" s="162"/>
      <c r="AD107" s="71" t="s">
        <v>1566</v>
      </c>
      <c r="AE107" s="77">
        <v>168243023</v>
      </c>
    </row>
    <row r="108" spans="1:31">
      <c r="A108" s="71" t="s">
        <v>133</v>
      </c>
      <c r="B108" s="72" t="s">
        <v>1760</v>
      </c>
      <c r="C108" s="68" t="s">
        <v>14</v>
      </c>
      <c r="D108" s="83" t="s">
        <v>1243</v>
      </c>
      <c r="E108" s="71" t="s">
        <v>381</v>
      </c>
      <c r="F108" s="93" t="s">
        <v>382</v>
      </c>
      <c r="G108" s="94" t="s">
        <v>491</v>
      </c>
      <c r="H108" s="94"/>
      <c r="I108" s="94"/>
      <c r="J108" s="71">
        <v>1218258</v>
      </c>
      <c r="K108" s="71" t="s">
        <v>758</v>
      </c>
      <c r="L108" s="71" t="s">
        <v>751</v>
      </c>
      <c r="M108" s="71" t="s">
        <v>759</v>
      </c>
      <c r="N108" s="75" t="s">
        <v>759</v>
      </c>
      <c r="O108" s="76">
        <f>IFERROR(VLOOKUP(N108,'2026 yanvar vash'!A:D,4,0),"0")/1000</f>
        <v>0</v>
      </c>
      <c r="P108" s="173">
        <f>IFERROR(VLOOKUP(N108,'2026 fevral vash'!A:D,4,0),"0")/1000</f>
        <v>0</v>
      </c>
      <c r="Q108" s="173">
        <f>IFERROR(VLOOKUP(N108,'2026 mart vash'!A:D,4,0),"0")/1000</f>
        <v>0</v>
      </c>
      <c r="R108" s="173">
        <f>IFERROR(VLOOKUP(N108,'2026 aprel vash'!A:D,4,0),"0")/1000</f>
        <v>0</v>
      </c>
      <c r="S108" s="173">
        <f>IFERROR(VLOOKUP(N108,'2026 may vash'!A:D,4,0),"0")/1000</f>
        <v>0</v>
      </c>
      <c r="T108" s="173">
        <f>IFERROR(VLOOKUP(N108,'2026 iyun vash'!A:D,4,0),"0")/1000</f>
        <v>0</v>
      </c>
      <c r="U108" s="173">
        <f>IFERROR(VLOOKUP(N108,'2026 iyul vash'!A:D,4,0),"0")/1000</f>
        <v>0</v>
      </c>
      <c r="V108" s="173"/>
      <c r="W108" s="173"/>
      <c r="X108" s="173"/>
      <c r="Y108" s="173"/>
      <c r="Z108" s="173"/>
      <c r="AA108" s="162">
        <f t="shared" si="2"/>
        <v>0</v>
      </c>
      <c r="AB108" s="162"/>
      <c r="AC108" s="162"/>
      <c r="AD108" s="71" t="s">
        <v>1567</v>
      </c>
      <c r="AE108" s="77">
        <v>171904842.81999999</v>
      </c>
    </row>
    <row r="109" spans="1:31">
      <c r="A109" s="71" t="s">
        <v>134</v>
      </c>
      <c r="B109" s="72" t="s">
        <v>1760</v>
      </c>
      <c r="C109" s="68" t="s">
        <v>14</v>
      </c>
      <c r="D109" s="128" t="s">
        <v>746</v>
      </c>
      <c r="E109" s="71" t="s">
        <v>364</v>
      </c>
      <c r="F109" s="131" t="s">
        <v>475</v>
      </c>
      <c r="G109" s="128" t="s">
        <v>522</v>
      </c>
      <c r="H109" s="90" t="s">
        <v>1780</v>
      </c>
      <c r="I109" s="67">
        <v>1128.7</v>
      </c>
      <c r="J109" s="71" t="s">
        <v>760</v>
      </c>
      <c r="K109" s="71" t="s">
        <v>761</v>
      </c>
      <c r="L109" s="71" t="s">
        <v>762</v>
      </c>
      <c r="M109" s="71">
        <v>901120539</v>
      </c>
      <c r="N109" s="75">
        <v>21424</v>
      </c>
      <c r="O109" s="76">
        <f>VLOOKUP(N109,Uzcard!C:P,4,0)</f>
        <v>7429.15</v>
      </c>
      <c r="P109" s="76">
        <f>VLOOKUP(N109,Uzcard!C:P,6,0)</f>
        <v>5862.2</v>
      </c>
      <c r="Q109" s="76">
        <f>VLOOKUP(N109,Uzcard!C:P,8,0)</f>
        <v>8381.35</v>
      </c>
      <c r="R109" s="76">
        <f>VLOOKUP(N109,Uzcard!C:P,10,0)</f>
        <v>6676.9</v>
      </c>
      <c r="S109" s="76">
        <f>VLOOKUP(N109,Uzcard!C:P,12,0)</f>
        <v>10234.700000000001</v>
      </c>
      <c r="T109" s="76">
        <f>VLOOKUP(N109,Uzcard!C:P,14,0)</f>
        <v>12014.95</v>
      </c>
      <c r="U109" s="172">
        <f>IFERROR(VLOOKUP(N109,'2026 iyul uzcard'!A:D,3,0),"0")/1000</f>
        <v>10449.950000000001</v>
      </c>
      <c r="V109" s="172"/>
      <c r="W109" s="172"/>
      <c r="X109" s="172"/>
      <c r="Y109" s="172"/>
      <c r="Z109" s="172"/>
      <c r="AA109" s="162">
        <f t="shared" si="2"/>
        <v>61049.2</v>
      </c>
      <c r="AB109" s="162"/>
      <c r="AC109" s="162"/>
      <c r="AD109" s="71" t="s">
        <v>1571</v>
      </c>
      <c r="AE109" s="77">
        <v>131315497</v>
      </c>
    </row>
    <row r="110" spans="1:31">
      <c r="A110" s="71" t="s">
        <v>135</v>
      </c>
      <c r="B110" s="72" t="s">
        <v>1760</v>
      </c>
      <c r="C110" s="68" t="s">
        <v>14</v>
      </c>
      <c r="D110" s="128" t="s">
        <v>746</v>
      </c>
      <c r="E110" s="71" t="s">
        <v>370</v>
      </c>
      <c r="F110" s="79" t="s">
        <v>371</v>
      </c>
      <c r="G110" s="128" t="s">
        <v>522</v>
      </c>
      <c r="H110" s="98" t="s">
        <v>1773</v>
      </c>
      <c r="I110" s="67">
        <v>1848</v>
      </c>
      <c r="J110" s="132" t="s">
        <v>1475</v>
      </c>
      <c r="K110" s="71" t="s">
        <v>763</v>
      </c>
      <c r="L110" s="71" t="s">
        <v>762</v>
      </c>
      <c r="M110" s="71" t="s">
        <v>764</v>
      </c>
      <c r="N110" s="75" t="s">
        <v>765</v>
      </c>
      <c r="O110" s="76">
        <f>VLOOKUP(N110,Humo!C:P,4,0)</f>
        <v>6252.8</v>
      </c>
      <c r="P110" s="77">
        <f>VLOOKUP(N110,Humo!C:P,6,0)</f>
        <v>5910.9</v>
      </c>
      <c r="Q110" s="77">
        <f>VLOOKUP(N110,Humo!C:P,8,0)</f>
        <v>7492.8</v>
      </c>
      <c r="R110" s="77">
        <f>VLOOKUP(N110,Humo!C:P,10,0)</f>
        <v>5384.4</v>
      </c>
      <c r="S110" s="77">
        <f>VLOOKUP(N110,Humo!C:P,12,0)</f>
        <v>4812.6000000000004</v>
      </c>
      <c r="T110" s="77">
        <f>VLOOKUP(N110,Humo!C:P,14,0)</f>
        <v>14725.4</v>
      </c>
      <c r="U110" s="77">
        <f>IFERROR(VLOOKUP(N110,'2026 iyul humo'!A:D,4,0),"0")/1000</f>
        <v>7422.05</v>
      </c>
      <c r="V110" s="77"/>
      <c r="W110" s="77"/>
      <c r="X110" s="77"/>
      <c r="Y110" s="77"/>
      <c r="Z110" s="77"/>
      <c r="AA110" s="162">
        <f t="shared" si="2"/>
        <v>52000.950000000004</v>
      </c>
      <c r="AB110" s="162"/>
      <c r="AC110" s="162"/>
      <c r="AD110" s="71" t="s">
        <v>1528</v>
      </c>
      <c r="AE110" s="77">
        <v>62805331</v>
      </c>
    </row>
    <row r="111" spans="1:31">
      <c r="A111" s="71" t="s">
        <v>136</v>
      </c>
      <c r="B111" s="72" t="s">
        <v>1760</v>
      </c>
      <c r="C111" s="68" t="s">
        <v>14</v>
      </c>
      <c r="D111" s="128" t="s">
        <v>746</v>
      </c>
      <c r="E111" s="71" t="s">
        <v>370</v>
      </c>
      <c r="F111" s="79" t="s">
        <v>371</v>
      </c>
      <c r="G111" s="128" t="s">
        <v>522</v>
      </c>
      <c r="H111" s="98" t="s">
        <v>1773</v>
      </c>
      <c r="I111" s="67">
        <v>1848</v>
      </c>
      <c r="J111" s="71">
        <v>5310177686</v>
      </c>
      <c r="K111" s="71" t="s">
        <v>766</v>
      </c>
      <c r="L111" s="71" t="s">
        <v>767</v>
      </c>
      <c r="M111" s="71" t="s">
        <v>768</v>
      </c>
      <c r="N111" s="75" t="s">
        <v>769</v>
      </c>
      <c r="O111" s="76">
        <f>VLOOKUP(N111,Humo!C:P,4,0)</f>
        <v>7790.9</v>
      </c>
      <c r="P111" s="77">
        <f>VLOOKUP(N111,Humo!C:P,6,0)</f>
        <v>5831</v>
      </c>
      <c r="Q111" s="77">
        <f>VLOOKUP(N111,Humo!C:P,8,0)</f>
        <v>4210</v>
      </c>
      <c r="R111" s="77">
        <f>VLOOKUP(N111,Humo!C:P,10,0)</f>
        <v>210.7</v>
      </c>
      <c r="S111" s="77">
        <f>VLOOKUP(N111,Humo!C:P,12,0)</f>
        <v>5369.5</v>
      </c>
      <c r="T111" s="77">
        <f>VLOOKUP(N111,Humo!C:P,14,0)</f>
        <v>6173.9</v>
      </c>
      <c r="U111" s="77">
        <f>IFERROR(VLOOKUP(N111,'2026 iyul humo'!A:D,4,0),"0")/1000</f>
        <v>7357.9</v>
      </c>
      <c r="V111" s="77"/>
      <c r="W111" s="77"/>
      <c r="X111" s="77"/>
      <c r="Y111" s="77"/>
      <c r="Z111" s="77"/>
      <c r="AA111" s="162">
        <f t="shared" si="2"/>
        <v>36943.9</v>
      </c>
      <c r="AB111" s="162"/>
      <c r="AC111" s="162"/>
      <c r="AD111" s="71" t="s">
        <v>1560</v>
      </c>
      <c r="AE111" s="77">
        <v>62805331</v>
      </c>
    </row>
    <row r="112" spans="1:31">
      <c r="A112" s="71" t="s">
        <v>137</v>
      </c>
      <c r="B112" s="72" t="s">
        <v>1760</v>
      </c>
      <c r="C112" s="68" t="s">
        <v>14</v>
      </c>
      <c r="D112" s="128" t="s">
        <v>746</v>
      </c>
      <c r="E112" s="83" t="s">
        <v>364</v>
      </c>
      <c r="F112" s="84" t="s">
        <v>1162</v>
      </c>
      <c r="G112" s="128" t="s">
        <v>522</v>
      </c>
      <c r="H112" s="1" t="s">
        <v>1780</v>
      </c>
      <c r="I112" s="67">
        <v>1128.7</v>
      </c>
      <c r="J112" s="71" t="s">
        <v>1404</v>
      </c>
      <c r="K112" s="112" t="s">
        <v>1468</v>
      </c>
      <c r="L112" s="71" t="s">
        <v>767</v>
      </c>
      <c r="M112" s="71" t="s">
        <v>1405</v>
      </c>
      <c r="N112" s="75">
        <v>39964</v>
      </c>
      <c r="O112" s="76">
        <f>VLOOKUP(N112,Uzcard!C:P,4,0)</f>
        <v>0</v>
      </c>
      <c r="P112" s="76">
        <f>VLOOKUP(N112,Uzcard!C:P,6,0)</f>
        <v>0</v>
      </c>
      <c r="Q112" s="76">
        <f>VLOOKUP(N112,Uzcard!C:P,8,0)</f>
        <v>0</v>
      </c>
      <c r="R112" s="76">
        <f>VLOOKUP(N112,Uzcard!C:P,10,0)</f>
        <v>0</v>
      </c>
      <c r="S112" s="76">
        <f>VLOOKUP(N112,Uzcard!C:P,12,0)</f>
        <v>0</v>
      </c>
      <c r="T112" s="76">
        <f>VLOOKUP(N112,Uzcard!C:P,14,0)</f>
        <v>0</v>
      </c>
      <c r="U112" s="172">
        <f>IFERROR(VLOOKUP(N112,'2026 iyul uzcard'!A:D,3,0),"0")/1000</f>
        <v>1111</v>
      </c>
      <c r="V112" s="172"/>
      <c r="W112" s="172"/>
      <c r="X112" s="172"/>
      <c r="Y112" s="172"/>
      <c r="Z112" s="172"/>
      <c r="AA112" s="162">
        <f t="shared" si="2"/>
        <v>1111</v>
      </c>
      <c r="AB112" s="162"/>
      <c r="AC112" s="162"/>
      <c r="AD112" s="71" t="s">
        <v>1501</v>
      </c>
      <c r="AE112" s="77">
        <v>362504800</v>
      </c>
    </row>
    <row r="113" spans="1:31">
      <c r="A113" s="71" t="s">
        <v>138</v>
      </c>
      <c r="B113" s="72" t="s">
        <v>1760</v>
      </c>
      <c r="C113" s="68" t="s">
        <v>14</v>
      </c>
      <c r="D113" s="128" t="s">
        <v>747</v>
      </c>
      <c r="E113" s="71" t="s">
        <v>364</v>
      </c>
      <c r="F113" s="131" t="s">
        <v>475</v>
      </c>
      <c r="G113" s="128" t="s">
        <v>522</v>
      </c>
      <c r="H113" s="90" t="s">
        <v>1780</v>
      </c>
      <c r="I113" s="67">
        <v>1128.7</v>
      </c>
      <c r="J113" s="71" t="s">
        <v>770</v>
      </c>
      <c r="K113" s="71" t="s">
        <v>771</v>
      </c>
      <c r="L113" s="71" t="s">
        <v>772</v>
      </c>
      <c r="M113" s="71">
        <v>901125051</v>
      </c>
      <c r="N113" s="75">
        <v>26088</v>
      </c>
      <c r="O113" s="76">
        <f>VLOOKUP(N113,Uzcard!C:P,4,0)</f>
        <v>12314</v>
      </c>
      <c r="P113" s="76">
        <f>VLOOKUP(N113,Uzcard!C:P,6,0)</f>
        <v>3383.25</v>
      </c>
      <c r="Q113" s="76">
        <f>VLOOKUP(N113,Uzcard!C:P,8,0)</f>
        <v>12250.55</v>
      </c>
      <c r="R113" s="76">
        <f>VLOOKUP(N113,Uzcard!C:P,10,0)</f>
        <v>6505.1</v>
      </c>
      <c r="S113" s="76">
        <f>VLOOKUP(N113,Uzcard!C:P,12,0)</f>
        <v>10705.65</v>
      </c>
      <c r="T113" s="76">
        <f>VLOOKUP(N113,Uzcard!C:P,14,0)</f>
        <v>10291.85</v>
      </c>
      <c r="U113" s="172">
        <f>IFERROR(VLOOKUP(N113,'2026 iyul uzcard'!A:D,3,0),"0")/1000</f>
        <v>4201.3</v>
      </c>
      <c r="V113" s="172"/>
      <c r="W113" s="172"/>
      <c r="X113" s="172"/>
      <c r="Y113" s="172"/>
      <c r="Z113" s="172"/>
      <c r="AA113" s="162">
        <f t="shared" si="2"/>
        <v>59651.700000000004</v>
      </c>
      <c r="AB113" s="162"/>
      <c r="AC113" s="162"/>
      <c r="AD113" s="71" t="s">
        <v>1570</v>
      </c>
      <c r="AE113" s="77">
        <v>144808312</v>
      </c>
    </row>
    <row r="114" spans="1:31" s="89" customFormat="1">
      <c r="A114" s="71" t="s">
        <v>139</v>
      </c>
      <c r="B114" s="72" t="s">
        <v>1760</v>
      </c>
      <c r="C114" s="69" t="s">
        <v>14</v>
      </c>
      <c r="D114" s="128" t="s">
        <v>747</v>
      </c>
      <c r="E114" s="79" t="s">
        <v>370</v>
      </c>
      <c r="F114" s="131" t="s">
        <v>475</v>
      </c>
      <c r="G114" s="131" t="s">
        <v>522</v>
      </c>
      <c r="H114" s="99" t="s">
        <v>1773</v>
      </c>
      <c r="I114" s="67">
        <v>1848</v>
      </c>
      <c r="J114" s="79" t="s">
        <v>773</v>
      </c>
      <c r="K114" s="79" t="s">
        <v>774</v>
      </c>
      <c r="L114" s="79" t="s">
        <v>772</v>
      </c>
      <c r="M114" s="79" t="s">
        <v>775</v>
      </c>
      <c r="N114" s="109" t="s">
        <v>776</v>
      </c>
      <c r="O114" s="76">
        <f>VLOOKUP(N114,Humo!C:P,4,0)</f>
        <v>10489.8</v>
      </c>
      <c r="P114" s="77">
        <f>VLOOKUP(N114,Humo!C:P,6,0)</f>
        <v>7510.7</v>
      </c>
      <c r="Q114" s="77">
        <f>VLOOKUP(N114,Humo!C:P,8,0)</f>
        <v>11952.8</v>
      </c>
      <c r="R114" s="77">
        <f>VLOOKUP(N114,Humo!C:P,10,0)</f>
        <v>6436.2</v>
      </c>
      <c r="S114" s="77">
        <f>VLOOKUP(N114,Humo!C:P,12,0)</f>
        <v>11451.2</v>
      </c>
      <c r="T114" s="77">
        <f>VLOOKUP(N114,Humo!C:P,14,0)</f>
        <v>9794.4</v>
      </c>
      <c r="U114" s="77">
        <f>IFERROR(VLOOKUP(N114,'2026 iyul humo'!A:D,4,0),"0")/1000</f>
        <v>6016</v>
      </c>
      <c r="V114" s="77"/>
      <c r="W114" s="77"/>
      <c r="X114" s="77"/>
      <c r="Y114" s="77"/>
      <c r="Z114" s="77"/>
      <c r="AA114" s="162">
        <f t="shared" si="2"/>
        <v>63651.1</v>
      </c>
      <c r="AB114" s="162"/>
      <c r="AC114" s="162"/>
      <c r="AD114" s="79" t="s">
        <v>1570</v>
      </c>
      <c r="AE114" s="88">
        <v>105827950</v>
      </c>
    </row>
    <row r="115" spans="1:31">
      <c r="A115" s="71" t="s">
        <v>140</v>
      </c>
      <c r="B115" s="72" t="s">
        <v>1760</v>
      </c>
      <c r="C115" s="68" t="s">
        <v>14</v>
      </c>
      <c r="D115" s="128" t="s">
        <v>747</v>
      </c>
      <c r="E115" s="71" t="s">
        <v>381</v>
      </c>
      <c r="F115" s="93" t="s">
        <v>382</v>
      </c>
      <c r="G115" s="94" t="s">
        <v>491</v>
      </c>
      <c r="H115" s="94"/>
      <c r="I115" s="94"/>
      <c r="J115" s="71">
        <v>1118258</v>
      </c>
      <c r="K115" s="71" t="s">
        <v>777</v>
      </c>
      <c r="L115" s="71" t="s">
        <v>772</v>
      </c>
      <c r="M115" s="71" t="s">
        <v>778</v>
      </c>
      <c r="N115" s="75" t="s">
        <v>778</v>
      </c>
      <c r="O115" s="76">
        <f>IFERROR(VLOOKUP(N115,'2026 yanvar vash'!A:D,4,0),"0")/1000</f>
        <v>0</v>
      </c>
      <c r="P115" s="173">
        <f>IFERROR(VLOOKUP(N115,'2026 fevral vash'!A:D,4,0),"0")/1000</f>
        <v>0</v>
      </c>
      <c r="Q115" s="173">
        <f>IFERROR(VLOOKUP(N115,'2026 mart vash'!A:D,4,0),"0")/1000</f>
        <v>0</v>
      </c>
      <c r="R115" s="173">
        <f>IFERROR(VLOOKUP(N115,'2026 aprel vash'!A:D,4,0),"0")/1000</f>
        <v>0</v>
      </c>
      <c r="S115" s="173">
        <f>IFERROR(VLOOKUP(N115,'2026 may vash'!A:D,4,0),"0")/1000</f>
        <v>0</v>
      </c>
      <c r="T115" s="173">
        <f>IFERROR(VLOOKUP(N115,'2026 iyun vash'!A:D,4,0),"0")/1000</f>
        <v>0</v>
      </c>
      <c r="U115" s="173">
        <f>IFERROR(VLOOKUP(N115,'2026 iyul vash'!A:D,4,0),"0")/1000</f>
        <v>0</v>
      </c>
      <c r="V115" s="173"/>
      <c r="W115" s="173"/>
      <c r="X115" s="173"/>
      <c r="Y115" s="173"/>
      <c r="Z115" s="173"/>
      <c r="AA115" s="162">
        <f t="shared" si="2"/>
        <v>0</v>
      </c>
      <c r="AB115" s="162"/>
      <c r="AC115" s="162"/>
      <c r="AD115" s="71" t="s">
        <v>1559</v>
      </c>
      <c r="AE115" s="77">
        <v>171904842.81999999</v>
      </c>
    </row>
    <row r="116" spans="1:31">
      <c r="A116" s="71" t="s">
        <v>141</v>
      </c>
      <c r="B116" s="72" t="s">
        <v>1760</v>
      </c>
      <c r="C116" s="68" t="s">
        <v>14</v>
      </c>
      <c r="D116" s="128" t="s">
        <v>748</v>
      </c>
      <c r="E116" s="71" t="s">
        <v>364</v>
      </c>
      <c r="F116" s="131" t="s">
        <v>475</v>
      </c>
      <c r="G116" s="128" t="s">
        <v>522</v>
      </c>
      <c r="H116" s="90" t="s">
        <v>1780</v>
      </c>
      <c r="I116" s="67">
        <v>1128.7</v>
      </c>
      <c r="J116" s="71" t="s">
        <v>779</v>
      </c>
      <c r="K116" s="71" t="s">
        <v>780</v>
      </c>
      <c r="L116" s="71" t="s">
        <v>781</v>
      </c>
      <c r="M116" s="71">
        <v>901120541</v>
      </c>
      <c r="N116" s="75">
        <v>21423</v>
      </c>
      <c r="O116" s="76">
        <f>VLOOKUP(N116,Uzcard!C:P,4,0)</f>
        <v>9321.25</v>
      </c>
      <c r="P116" s="76">
        <f>VLOOKUP(N116,Uzcard!C:P,6,0)</f>
        <v>7802.25</v>
      </c>
      <c r="Q116" s="76">
        <f>VLOOKUP(N116,Uzcard!C:P,8,0)</f>
        <v>8515.85</v>
      </c>
      <c r="R116" s="76">
        <f>VLOOKUP(N116,Uzcard!C:P,10,0)</f>
        <v>4760.3999999999996</v>
      </c>
      <c r="S116" s="76">
        <f>VLOOKUP(N116,Uzcard!C:P,12,0)</f>
        <v>12474.65</v>
      </c>
      <c r="T116" s="76">
        <f>VLOOKUP(N116,Uzcard!C:P,14,0)</f>
        <v>10323.4</v>
      </c>
      <c r="U116" s="172">
        <f>IFERROR(VLOOKUP(N116,'2026 iyul uzcard'!A:D,3,0),"0")/1000</f>
        <v>6024.95</v>
      </c>
      <c r="V116" s="172"/>
      <c r="W116" s="172"/>
      <c r="X116" s="172"/>
      <c r="Y116" s="172"/>
      <c r="Z116" s="172"/>
      <c r="AA116" s="162">
        <f t="shared" si="2"/>
        <v>59222.75</v>
      </c>
      <c r="AB116" s="162"/>
      <c r="AC116" s="162"/>
      <c r="AD116" s="71" t="s">
        <v>1571</v>
      </c>
      <c r="AE116" s="77">
        <v>131315497</v>
      </c>
    </row>
    <row r="117" spans="1:31" s="89" customFormat="1">
      <c r="A117" s="71" t="s">
        <v>142</v>
      </c>
      <c r="B117" s="72" t="s">
        <v>1760</v>
      </c>
      <c r="C117" s="69" t="s">
        <v>14</v>
      </c>
      <c r="D117" s="128" t="s">
        <v>748</v>
      </c>
      <c r="E117" s="79" t="s">
        <v>370</v>
      </c>
      <c r="F117" s="131" t="s">
        <v>475</v>
      </c>
      <c r="G117" s="131" t="s">
        <v>522</v>
      </c>
      <c r="H117" s="99" t="s">
        <v>1773</v>
      </c>
      <c r="I117" s="67">
        <v>1848</v>
      </c>
      <c r="J117" s="79" t="s">
        <v>782</v>
      </c>
      <c r="K117" s="79" t="s">
        <v>783</v>
      </c>
      <c r="L117" s="79" t="s">
        <v>781</v>
      </c>
      <c r="M117" s="79" t="s">
        <v>784</v>
      </c>
      <c r="N117" s="109">
        <v>15700002</v>
      </c>
      <c r="O117" s="76">
        <f>VLOOKUP(N117,Humo!C:P,4,0)</f>
        <v>4826.2</v>
      </c>
      <c r="P117" s="77">
        <f>VLOOKUP(N117,Humo!C:P,6,0)</f>
        <v>4835.3999999999996</v>
      </c>
      <c r="Q117" s="77">
        <f>VLOOKUP(N117,Humo!C:P,8,0)</f>
        <v>10411.299999999999</v>
      </c>
      <c r="R117" s="77">
        <f>VLOOKUP(N117,Humo!C:P,10,0)</f>
        <v>7040.2</v>
      </c>
      <c r="S117" s="77">
        <f>VLOOKUP(N117,Humo!C:P,12,0)</f>
        <v>13621.4</v>
      </c>
      <c r="T117" s="77">
        <f>VLOOKUP(N117,Humo!C:P,14,0)</f>
        <v>9346.2999999999993</v>
      </c>
      <c r="U117" s="77">
        <f>IFERROR(VLOOKUP(N117,'2026 iyul humo'!A:D,4,0),"0")/1000</f>
        <v>3650.8</v>
      </c>
      <c r="V117" s="77"/>
      <c r="W117" s="77"/>
      <c r="X117" s="77"/>
      <c r="Y117" s="77"/>
      <c r="Z117" s="77"/>
      <c r="AA117" s="162">
        <f t="shared" si="2"/>
        <v>53731.600000000006</v>
      </c>
      <c r="AB117" s="162"/>
      <c r="AC117" s="162"/>
      <c r="AD117" s="79" t="s">
        <v>1570</v>
      </c>
      <c r="AE117" s="88">
        <v>105827950</v>
      </c>
    </row>
    <row r="118" spans="1:31">
      <c r="A118" s="71" t="s">
        <v>143</v>
      </c>
      <c r="B118" s="72" t="s">
        <v>1760</v>
      </c>
      <c r="C118" s="68" t="s">
        <v>14</v>
      </c>
      <c r="D118" s="128" t="s">
        <v>748</v>
      </c>
      <c r="E118" s="71" t="s">
        <v>381</v>
      </c>
      <c r="F118" s="93" t="s">
        <v>382</v>
      </c>
      <c r="G118" s="94" t="s">
        <v>491</v>
      </c>
      <c r="H118" s="94"/>
      <c r="I118" s="94"/>
      <c r="J118" s="71">
        <v>319339</v>
      </c>
      <c r="K118" s="71" t="s">
        <v>785</v>
      </c>
      <c r="L118" s="71" t="s">
        <v>781</v>
      </c>
      <c r="M118" s="71" t="s">
        <v>786</v>
      </c>
      <c r="N118" s="75" t="s">
        <v>786</v>
      </c>
      <c r="O118" s="76">
        <f>IFERROR(VLOOKUP(N118,'2026 yanvar vash'!A:D,4,0),"0")/1000</f>
        <v>0</v>
      </c>
      <c r="P118" s="173">
        <f>IFERROR(VLOOKUP(N118,'2026 fevral vash'!A:D,4,0),"0")/1000</f>
        <v>0</v>
      </c>
      <c r="Q118" s="173">
        <f>IFERROR(VLOOKUP(N118,'2026 mart vash'!A:D,4,0),"0")/1000</f>
        <v>0</v>
      </c>
      <c r="R118" s="173">
        <f>IFERROR(VLOOKUP(N118,'2026 aprel vash'!A:D,4,0),"0")/1000</f>
        <v>0</v>
      </c>
      <c r="S118" s="173">
        <f>IFERROR(VLOOKUP(N118,'2026 may vash'!A:D,4,0),"0")/1000</f>
        <v>0</v>
      </c>
      <c r="T118" s="173">
        <f>IFERROR(VLOOKUP(N118,'2026 iyun vash'!A:D,4,0),"0")/1000</f>
        <v>0</v>
      </c>
      <c r="U118" s="173">
        <f>IFERROR(VLOOKUP(N118,'2026 iyul vash'!A:D,4,0),"0")/1000</f>
        <v>0</v>
      </c>
      <c r="V118" s="173"/>
      <c r="W118" s="173"/>
      <c r="X118" s="173"/>
      <c r="Y118" s="173"/>
      <c r="Z118" s="173"/>
      <c r="AA118" s="162">
        <f t="shared" si="2"/>
        <v>0</v>
      </c>
      <c r="AB118" s="162"/>
      <c r="AC118" s="162"/>
      <c r="AD118" s="71" t="s">
        <v>1568</v>
      </c>
      <c r="AE118" s="77">
        <v>216557286.44999999</v>
      </c>
    </row>
    <row r="119" spans="1:31">
      <c r="A119" s="71" t="s">
        <v>144</v>
      </c>
      <c r="B119" s="72" t="s">
        <v>1760</v>
      </c>
      <c r="C119" s="68" t="s">
        <v>14</v>
      </c>
      <c r="D119" s="91" t="s">
        <v>1009</v>
      </c>
      <c r="E119" s="71" t="s">
        <v>370</v>
      </c>
      <c r="F119" s="79" t="s">
        <v>371</v>
      </c>
      <c r="G119" s="128" t="s">
        <v>522</v>
      </c>
      <c r="H119" s="98" t="s">
        <v>1773</v>
      </c>
      <c r="I119" s="67">
        <v>1848</v>
      </c>
      <c r="J119" s="126" t="s">
        <v>1482</v>
      </c>
      <c r="K119" s="71" t="s">
        <v>787</v>
      </c>
      <c r="L119" s="71" t="s">
        <v>788</v>
      </c>
      <c r="M119" s="71" t="s">
        <v>789</v>
      </c>
      <c r="N119" s="75" t="s">
        <v>790</v>
      </c>
      <c r="O119" s="76">
        <f>VLOOKUP(N119,Humo!C:P,4,0)</f>
        <v>1260.8</v>
      </c>
      <c r="P119" s="77">
        <f>VLOOKUP(N119,Humo!C:P,6,0)</f>
        <v>2116.8000000000002</v>
      </c>
      <c r="Q119" s="77">
        <f>VLOOKUP(N119,Humo!C:P,8,0)</f>
        <v>2542.3000000000002</v>
      </c>
      <c r="R119" s="77">
        <f>VLOOKUP(N119,Humo!C:P,10,0)</f>
        <v>1390.3</v>
      </c>
      <c r="S119" s="77">
        <f>VLOOKUP(N119,Humo!C:P,12,0)</f>
        <v>1550.7</v>
      </c>
      <c r="T119" s="77">
        <f>VLOOKUP(N119,Humo!C:P,14,0)</f>
        <v>2394.3000000000002</v>
      </c>
      <c r="U119" s="77">
        <f>IFERROR(VLOOKUP(N119,'2026 iyul humo'!A:D,4,0),"0")/1000</f>
        <v>1987.85</v>
      </c>
      <c r="V119" s="77"/>
      <c r="W119" s="77"/>
      <c r="X119" s="77"/>
      <c r="Y119" s="77"/>
      <c r="Z119" s="77"/>
      <c r="AA119" s="162">
        <f t="shared" si="2"/>
        <v>13243.050000000001</v>
      </c>
      <c r="AB119" s="162"/>
      <c r="AC119" s="162"/>
      <c r="AD119" s="71" t="s">
        <v>1560</v>
      </c>
      <c r="AE119" s="77">
        <v>62805331</v>
      </c>
    </row>
    <row r="120" spans="1:31">
      <c r="A120" s="71" t="s">
        <v>145</v>
      </c>
      <c r="B120" s="72" t="s">
        <v>1760</v>
      </c>
      <c r="C120" s="68" t="s">
        <v>14</v>
      </c>
      <c r="D120" s="83" t="s">
        <v>1406</v>
      </c>
      <c r="E120" s="71" t="s">
        <v>364</v>
      </c>
      <c r="F120" s="131" t="s">
        <v>475</v>
      </c>
      <c r="G120" s="128" t="s">
        <v>522</v>
      </c>
      <c r="H120" s="90" t="s">
        <v>1780</v>
      </c>
      <c r="I120" s="67">
        <v>1128.7</v>
      </c>
      <c r="J120" s="71" t="s">
        <v>749</v>
      </c>
      <c r="K120" s="71" t="s">
        <v>750</v>
      </c>
      <c r="L120" s="83" t="s">
        <v>1407</v>
      </c>
      <c r="M120" s="71">
        <v>901120540</v>
      </c>
      <c r="N120" s="75">
        <v>21425</v>
      </c>
      <c r="O120" s="76">
        <f>VLOOKUP(N120,Uzcard!C:P,4,0)</f>
        <v>3982.95</v>
      </c>
      <c r="P120" s="76">
        <f>VLOOKUP(N120,Uzcard!C:P,6,0)</f>
        <v>4979.625</v>
      </c>
      <c r="Q120" s="76">
        <f>VLOOKUP(N120,Uzcard!C:P,8,0)</f>
        <v>5494.3</v>
      </c>
      <c r="R120" s="76">
        <f>VLOOKUP(N120,Uzcard!C:P,10,0)</f>
        <v>2430.5500000000002</v>
      </c>
      <c r="S120" s="76">
        <f>VLOOKUP(N120,Uzcard!C:P,12,0)</f>
        <v>831.8</v>
      </c>
      <c r="T120" s="76">
        <f>VLOOKUP(N120,Uzcard!C:P,14,0)</f>
        <v>0</v>
      </c>
      <c r="U120" s="172">
        <f>IFERROR(VLOOKUP(N120,'2026 iyul uzcard'!A:D,3,0),"0")/1000</f>
        <v>2159.15</v>
      </c>
      <c r="V120" s="172"/>
      <c r="W120" s="172"/>
      <c r="X120" s="172"/>
      <c r="Y120" s="172"/>
      <c r="Z120" s="172"/>
      <c r="AA120" s="162">
        <f t="shared" si="2"/>
        <v>19878.375</v>
      </c>
      <c r="AB120" s="162"/>
      <c r="AC120" s="162"/>
      <c r="AD120" s="71" t="s">
        <v>1571</v>
      </c>
      <c r="AE120" s="77">
        <v>131315497</v>
      </c>
    </row>
    <row r="121" spans="1:31">
      <c r="A121" s="71" t="s">
        <v>146</v>
      </c>
      <c r="B121" s="72" t="s">
        <v>1760</v>
      </c>
      <c r="C121" s="68" t="s">
        <v>14</v>
      </c>
      <c r="D121" s="133" t="s">
        <v>1651</v>
      </c>
      <c r="E121" s="105" t="s">
        <v>364</v>
      </c>
      <c r="F121" s="79" t="s">
        <v>376</v>
      </c>
      <c r="G121" s="133" t="s">
        <v>522</v>
      </c>
      <c r="H121" s="98" t="s">
        <v>1773</v>
      </c>
      <c r="I121" s="67">
        <v>1848</v>
      </c>
      <c r="J121" s="79">
        <v>1108457408</v>
      </c>
      <c r="K121" s="71" t="s">
        <v>1294</v>
      </c>
      <c r="L121" s="133" t="s">
        <v>1650</v>
      </c>
      <c r="M121" s="133" t="s">
        <v>1649</v>
      </c>
      <c r="N121" s="134">
        <v>40148</v>
      </c>
      <c r="O121" s="76">
        <f>VLOOKUP(N121,Uzcard!C:P,4,0)</f>
        <v>0</v>
      </c>
      <c r="P121" s="76">
        <f>VLOOKUP(N121,Uzcard!C:P,6,0)</f>
        <v>0</v>
      </c>
      <c r="Q121" s="76">
        <f>VLOOKUP(N121,Uzcard!C:P,8,0)</f>
        <v>0</v>
      </c>
      <c r="R121" s="76">
        <f>VLOOKUP(N121,Uzcard!C:P,10,0)</f>
        <v>0</v>
      </c>
      <c r="S121" s="76">
        <f>VLOOKUP(N121,Uzcard!C:P,12,0)</f>
        <v>0</v>
      </c>
      <c r="T121" s="76">
        <f>VLOOKUP(N121,Uzcard!C:P,14,0)</f>
        <v>0</v>
      </c>
      <c r="U121" s="172">
        <f>IFERROR(VLOOKUP(N121,'2026 iyul uzcard'!A:D,3,0),"0")/1000</f>
        <v>0</v>
      </c>
      <c r="V121" s="172"/>
      <c r="W121" s="172"/>
      <c r="X121" s="172"/>
      <c r="Y121" s="172"/>
      <c r="Z121" s="172"/>
      <c r="AA121" s="162">
        <f t="shared" si="2"/>
        <v>0</v>
      </c>
      <c r="AB121" s="162"/>
      <c r="AC121" s="162"/>
      <c r="AD121" s="133" t="s">
        <v>1652</v>
      </c>
      <c r="AE121" s="77">
        <v>168243023</v>
      </c>
    </row>
    <row r="122" spans="1:31">
      <c r="A122" s="71" t="s">
        <v>147</v>
      </c>
      <c r="B122" s="72" t="s">
        <v>1760</v>
      </c>
      <c r="C122" s="68" t="s">
        <v>14</v>
      </c>
      <c r="D122" s="128" t="s">
        <v>24</v>
      </c>
      <c r="E122" s="71" t="s">
        <v>364</v>
      </c>
      <c r="F122" s="74" t="s">
        <v>474</v>
      </c>
      <c r="G122" s="128" t="s">
        <v>491</v>
      </c>
      <c r="H122" s="128"/>
      <c r="I122" s="128"/>
      <c r="J122" s="71" t="s">
        <v>791</v>
      </c>
      <c r="K122" s="71" t="s">
        <v>792</v>
      </c>
      <c r="L122" s="71" t="s">
        <v>751</v>
      </c>
      <c r="M122" s="71">
        <v>901117347</v>
      </c>
      <c r="N122" s="75">
        <v>18154</v>
      </c>
      <c r="O122" s="76">
        <f>VLOOKUP(N122,Uzcard!C:P,4,0)</f>
        <v>0</v>
      </c>
      <c r="P122" s="76">
        <f>VLOOKUP(N122,Uzcard!C:P,6,0)</f>
        <v>0</v>
      </c>
      <c r="Q122" s="76">
        <f>VLOOKUP(N122,Uzcard!C:P,8,0)</f>
        <v>0</v>
      </c>
      <c r="R122" s="76">
        <f>VLOOKUP(N122,Uzcard!C:P,10,0)</f>
        <v>0</v>
      </c>
      <c r="S122" s="76">
        <f>VLOOKUP(N122,Uzcard!C:P,12,0)</f>
        <v>0</v>
      </c>
      <c r="T122" s="76">
        <f>VLOOKUP(N122,Uzcard!C:P,14,0)</f>
        <v>0</v>
      </c>
      <c r="U122" s="172">
        <f>IFERROR(VLOOKUP(N122,'2026 iyul uzcard'!A:D,3,0),"0")/1000</f>
        <v>0</v>
      </c>
      <c r="V122" s="172"/>
      <c r="W122" s="172"/>
      <c r="X122" s="172"/>
      <c r="Y122" s="172"/>
      <c r="Z122" s="172"/>
      <c r="AA122" s="162">
        <f t="shared" si="2"/>
        <v>0</v>
      </c>
      <c r="AB122" s="162"/>
      <c r="AC122" s="162"/>
      <c r="AD122" s="71" t="s">
        <v>1572</v>
      </c>
      <c r="AE122" s="77">
        <v>100458192.72</v>
      </c>
    </row>
    <row r="123" spans="1:31">
      <c r="A123" s="71" t="s">
        <v>148</v>
      </c>
      <c r="B123" s="72" t="s">
        <v>1760</v>
      </c>
      <c r="C123" s="68" t="s">
        <v>14</v>
      </c>
      <c r="D123" s="128" t="s">
        <v>24</v>
      </c>
      <c r="E123" s="71" t="s">
        <v>364</v>
      </c>
      <c r="F123" s="74" t="s">
        <v>474</v>
      </c>
      <c r="G123" s="128" t="s">
        <v>491</v>
      </c>
      <c r="H123" s="128"/>
      <c r="I123" s="128"/>
      <c r="J123" s="71" t="s">
        <v>793</v>
      </c>
      <c r="K123" s="71" t="s">
        <v>794</v>
      </c>
      <c r="L123" s="71" t="s">
        <v>751</v>
      </c>
      <c r="M123" s="71">
        <v>901117346</v>
      </c>
      <c r="N123" s="75">
        <v>18153</v>
      </c>
      <c r="O123" s="76">
        <f>VLOOKUP(N123,Uzcard!C:P,4,0)</f>
        <v>0</v>
      </c>
      <c r="P123" s="76">
        <f>VLOOKUP(N123,Uzcard!C:P,6,0)</f>
        <v>0</v>
      </c>
      <c r="Q123" s="76">
        <f>VLOOKUP(N123,Uzcard!C:P,8,0)</f>
        <v>0</v>
      </c>
      <c r="R123" s="76">
        <f>VLOOKUP(N123,Uzcard!C:P,10,0)</f>
        <v>0</v>
      </c>
      <c r="S123" s="76">
        <f>VLOOKUP(N123,Uzcard!C:P,12,0)</f>
        <v>0</v>
      </c>
      <c r="T123" s="76">
        <f>VLOOKUP(N123,Uzcard!C:P,14,0)</f>
        <v>0</v>
      </c>
      <c r="U123" s="172">
        <f>IFERROR(VLOOKUP(N123,'2026 iyul uzcard'!A:D,3,0),"0")/1000</f>
        <v>0</v>
      </c>
      <c r="V123" s="172"/>
      <c r="W123" s="172"/>
      <c r="X123" s="172"/>
      <c r="Y123" s="172"/>
      <c r="Z123" s="172"/>
      <c r="AA123" s="162">
        <f t="shared" si="2"/>
        <v>0</v>
      </c>
      <c r="AB123" s="162"/>
      <c r="AC123" s="162"/>
      <c r="AD123" s="71" t="s">
        <v>1574</v>
      </c>
      <c r="AE123" s="77">
        <v>108319139.8</v>
      </c>
    </row>
    <row r="124" spans="1:31">
      <c r="A124" s="71" t="s">
        <v>149</v>
      </c>
      <c r="B124" s="72" t="s">
        <v>1760</v>
      </c>
      <c r="C124" s="68" t="s">
        <v>14</v>
      </c>
      <c r="D124" s="128" t="s">
        <v>24</v>
      </c>
      <c r="E124" s="71" t="s">
        <v>364</v>
      </c>
      <c r="F124" s="74" t="s">
        <v>474</v>
      </c>
      <c r="G124" s="128" t="s">
        <v>491</v>
      </c>
      <c r="H124" s="128"/>
      <c r="I124" s="128"/>
      <c r="J124" s="71" t="s">
        <v>795</v>
      </c>
      <c r="K124" s="71" t="s">
        <v>796</v>
      </c>
      <c r="L124" s="71" t="s">
        <v>751</v>
      </c>
      <c r="M124" s="71">
        <v>901122909</v>
      </c>
      <c r="N124" s="75">
        <v>23892</v>
      </c>
      <c r="O124" s="76">
        <f>VLOOKUP(N124,Uzcard!C:P,4,0)</f>
        <v>0</v>
      </c>
      <c r="P124" s="76">
        <f>VLOOKUP(N124,Uzcard!C:P,6,0)</f>
        <v>0</v>
      </c>
      <c r="Q124" s="76">
        <f>VLOOKUP(N124,Uzcard!C:P,8,0)</f>
        <v>0</v>
      </c>
      <c r="R124" s="76">
        <f>VLOOKUP(N124,Uzcard!C:P,10,0)</f>
        <v>0</v>
      </c>
      <c r="S124" s="76">
        <f>VLOOKUP(N124,Uzcard!C:P,12,0)</f>
        <v>0</v>
      </c>
      <c r="T124" s="76">
        <f>VLOOKUP(N124,Uzcard!C:P,14,0)</f>
        <v>0</v>
      </c>
      <c r="U124" s="172">
        <f>IFERROR(VLOOKUP(N124,'2026 iyul uzcard'!A:D,3,0),"0")/1000</f>
        <v>0</v>
      </c>
      <c r="V124" s="172"/>
      <c r="W124" s="172"/>
      <c r="X124" s="172"/>
      <c r="Y124" s="172"/>
      <c r="Z124" s="172"/>
      <c r="AA124" s="162">
        <f t="shared" si="2"/>
        <v>0</v>
      </c>
      <c r="AB124" s="162"/>
      <c r="AC124" s="162"/>
      <c r="AD124" s="71" t="s">
        <v>1573</v>
      </c>
      <c r="AE124" s="77">
        <v>100458192.72</v>
      </c>
    </row>
    <row r="125" spans="1:31">
      <c r="A125" s="71" t="s">
        <v>150</v>
      </c>
      <c r="B125" s="72" t="s">
        <v>1761</v>
      </c>
      <c r="C125" s="68" t="s">
        <v>15</v>
      </c>
      <c r="D125" s="83" t="s">
        <v>1243</v>
      </c>
      <c r="E125" s="135" t="s">
        <v>370</v>
      </c>
      <c r="F125" s="136" t="s">
        <v>376</v>
      </c>
      <c r="G125" s="135" t="s">
        <v>522</v>
      </c>
      <c r="H125" s="98" t="s">
        <v>1773</v>
      </c>
      <c r="I125" s="67">
        <v>1848</v>
      </c>
      <c r="J125" s="79">
        <v>1108457436</v>
      </c>
      <c r="K125" s="71" t="s">
        <v>687</v>
      </c>
      <c r="L125" s="135" t="s">
        <v>689</v>
      </c>
      <c r="M125" s="71" t="s">
        <v>690</v>
      </c>
      <c r="N125" s="75" t="s">
        <v>691</v>
      </c>
      <c r="O125" s="76">
        <f>VLOOKUP(N125,Humo!C:P,4,0)</f>
        <v>15037.9</v>
      </c>
      <c r="P125" s="77">
        <f>VLOOKUP(N125,Humo!C:P,6,0)</f>
        <v>9303.4</v>
      </c>
      <c r="Q125" s="77">
        <f>VLOOKUP(N125,Humo!C:P,8,0)</f>
        <v>16107.4</v>
      </c>
      <c r="R125" s="77">
        <f>VLOOKUP(N125,Humo!C:P,10,0)</f>
        <v>18184.099999999999</v>
      </c>
      <c r="S125" s="77">
        <f>VLOOKUP(N125,Humo!C:P,12,0)</f>
        <v>13877.1</v>
      </c>
      <c r="T125" s="77">
        <f>VLOOKUP(N125,Humo!C:P,14,0)</f>
        <v>20317.3</v>
      </c>
      <c r="U125" s="77">
        <f>IFERROR(VLOOKUP(N125,'2026 iyul humo'!A:D,4,0),"0")/1000</f>
        <v>16414.349999999999</v>
      </c>
      <c r="V125" s="77"/>
      <c r="W125" s="77"/>
      <c r="X125" s="77"/>
      <c r="Y125" s="77"/>
      <c r="Z125" s="77"/>
      <c r="AA125" s="162">
        <f t="shared" si="2"/>
        <v>109241.54999999999</v>
      </c>
      <c r="AB125" s="162"/>
      <c r="AC125" s="162"/>
      <c r="AD125" s="71" t="s">
        <v>1575</v>
      </c>
      <c r="AE125" s="77">
        <v>168243023</v>
      </c>
    </row>
    <row r="126" spans="1:31">
      <c r="A126" s="71" t="s">
        <v>151</v>
      </c>
      <c r="B126" s="72" t="s">
        <v>1761</v>
      </c>
      <c r="C126" s="68" t="s">
        <v>15</v>
      </c>
      <c r="D126" s="83" t="s">
        <v>1243</v>
      </c>
      <c r="E126" s="135" t="s">
        <v>381</v>
      </c>
      <c r="F126" s="93" t="s">
        <v>382</v>
      </c>
      <c r="G126" s="116" t="s">
        <v>522</v>
      </c>
      <c r="H126" s="116"/>
      <c r="I126" s="116"/>
      <c r="J126" s="83" t="s">
        <v>1450</v>
      </c>
      <c r="K126" s="71" t="s">
        <v>688</v>
      </c>
      <c r="L126" s="135" t="s">
        <v>689</v>
      </c>
      <c r="M126" s="71" t="s">
        <v>692</v>
      </c>
      <c r="N126" s="75" t="s">
        <v>692</v>
      </c>
      <c r="O126" s="76">
        <f>IFERROR(VLOOKUP(N126,'2026 yanvar vash'!A:D,4,0),"0")/1000</f>
        <v>530.1</v>
      </c>
      <c r="P126" s="173">
        <f>IFERROR(VLOOKUP(N126,'2026 fevral vash'!A:D,4,0),"0")/1000</f>
        <v>1293.5999999999999</v>
      </c>
      <c r="Q126" s="173">
        <f>IFERROR(VLOOKUP(N126,'2026 mart vash'!A:D,4,0),"0")/1000</f>
        <v>1044</v>
      </c>
      <c r="R126" s="173">
        <f>IFERROR(VLOOKUP(N126,'2026 aprel vash'!A:D,4,0),"0")/1000</f>
        <v>749.85</v>
      </c>
      <c r="S126" s="173">
        <f>IFERROR(VLOOKUP(N126,'2026 may vash'!A:D,4,0),"0")/1000</f>
        <v>519</v>
      </c>
      <c r="T126" s="173">
        <f>IFERROR(VLOOKUP(N126,'2026 iyun vash'!A:D,4,0),"0")/1000</f>
        <v>1275.47</v>
      </c>
      <c r="U126" s="173">
        <f>IFERROR(VLOOKUP(N126,'2026 iyul vash'!A:D,4,0),"0")/1000</f>
        <v>656.51</v>
      </c>
      <c r="V126" s="173"/>
      <c r="W126" s="173"/>
      <c r="X126" s="173"/>
      <c r="Y126" s="173"/>
      <c r="Z126" s="173"/>
      <c r="AA126" s="162">
        <f t="shared" si="2"/>
        <v>6068.53</v>
      </c>
      <c r="AB126" s="162"/>
      <c r="AC126" s="162"/>
      <c r="AD126" s="71" t="s">
        <v>1576</v>
      </c>
      <c r="AE126" s="77">
        <v>171904842.81999999</v>
      </c>
    </row>
    <row r="127" spans="1:31">
      <c r="A127" s="71" t="s">
        <v>152</v>
      </c>
      <c r="B127" s="72" t="s">
        <v>1761</v>
      </c>
      <c r="C127" s="68" t="s">
        <v>15</v>
      </c>
      <c r="D127" s="83" t="s">
        <v>1243</v>
      </c>
      <c r="E127" s="83" t="s">
        <v>364</v>
      </c>
      <c r="F127" s="12" t="s">
        <v>1162</v>
      </c>
      <c r="G127" s="135" t="s">
        <v>522</v>
      </c>
      <c r="H127" s="1" t="s">
        <v>1780</v>
      </c>
      <c r="I127" s="67">
        <v>1128.7</v>
      </c>
      <c r="J127" s="71" t="s">
        <v>1408</v>
      </c>
      <c r="K127" s="71" t="s">
        <v>1409</v>
      </c>
      <c r="L127" s="135" t="s">
        <v>689</v>
      </c>
      <c r="M127" s="71" t="s">
        <v>1410</v>
      </c>
      <c r="N127" s="75">
        <v>40033</v>
      </c>
      <c r="O127" s="76">
        <f>VLOOKUP(N127,Uzcard!C:P,4,0)</f>
        <v>0</v>
      </c>
      <c r="P127" s="76">
        <f>VLOOKUP(N127,Uzcard!C:P,6,0)</f>
        <v>0</v>
      </c>
      <c r="Q127" s="76">
        <f>VLOOKUP(N127,Uzcard!C:P,8,0)</f>
        <v>0</v>
      </c>
      <c r="R127" s="76">
        <f>VLOOKUP(N127,Uzcard!C:P,10,0)</f>
        <v>0</v>
      </c>
      <c r="S127" s="76">
        <f>VLOOKUP(N127,Uzcard!C:P,12,0)</f>
        <v>0</v>
      </c>
      <c r="T127" s="76">
        <f>VLOOKUP(N127,Uzcard!C:P,14,0)</f>
        <v>0</v>
      </c>
      <c r="U127" s="172">
        <f>IFERROR(VLOOKUP(N127,'2026 iyul uzcard'!A:D,3,0),"0")/1000</f>
        <v>17479.75</v>
      </c>
      <c r="V127" s="172"/>
      <c r="W127" s="172"/>
      <c r="X127" s="172"/>
      <c r="Y127" s="172"/>
      <c r="Z127" s="172"/>
      <c r="AA127" s="162">
        <f t="shared" si="2"/>
        <v>17479.75</v>
      </c>
      <c r="AB127" s="162"/>
      <c r="AC127" s="162"/>
      <c r="AD127" s="71" t="s">
        <v>1501</v>
      </c>
      <c r="AE127" s="77">
        <v>362504800</v>
      </c>
    </row>
    <row r="128" spans="1:31">
      <c r="A128" s="71" t="s">
        <v>153</v>
      </c>
      <c r="B128" s="72" t="s">
        <v>1761</v>
      </c>
      <c r="C128" s="68" t="s">
        <v>15</v>
      </c>
      <c r="D128" s="137" t="s">
        <v>679</v>
      </c>
      <c r="E128" s="135" t="s">
        <v>364</v>
      </c>
      <c r="F128" s="9" t="s">
        <v>475</v>
      </c>
      <c r="G128" s="135" t="s">
        <v>522</v>
      </c>
      <c r="H128" s="90" t="s">
        <v>1780</v>
      </c>
      <c r="I128" s="67">
        <v>1128.7</v>
      </c>
      <c r="J128" s="71" t="s">
        <v>693</v>
      </c>
      <c r="K128" s="71" t="s">
        <v>695</v>
      </c>
      <c r="L128" s="71" t="s">
        <v>698</v>
      </c>
      <c r="M128" s="71">
        <v>901124690</v>
      </c>
      <c r="N128" s="75">
        <v>25712</v>
      </c>
      <c r="O128" s="76">
        <f>VLOOKUP(N128,Uzcard!C:P,4,0)</f>
        <v>12479.424999999999</v>
      </c>
      <c r="P128" s="76">
        <f>VLOOKUP(N128,Uzcard!C:P,6,0)</f>
        <v>16317.65</v>
      </c>
      <c r="Q128" s="76">
        <f>VLOOKUP(N128,Uzcard!C:P,8,0)</f>
        <v>18452.575000000001</v>
      </c>
      <c r="R128" s="76">
        <f>VLOOKUP(N128,Uzcard!C:P,10,0)</f>
        <v>1211.5</v>
      </c>
      <c r="S128" s="76">
        <f>VLOOKUP(N128,Uzcard!C:P,12,0)</f>
        <v>705.7</v>
      </c>
      <c r="T128" s="76">
        <f>VLOOKUP(N128,Uzcard!C:P,14,0)</f>
        <v>2358.75</v>
      </c>
      <c r="U128" s="172">
        <f>IFERROR(VLOOKUP(N128,'2026 iyul uzcard'!A:D,3,0),"0")/1000</f>
        <v>2409.375</v>
      </c>
      <c r="V128" s="172"/>
      <c r="W128" s="172"/>
      <c r="X128" s="172"/>
      <c r="Y128" s="172"/>
      <c r="Z128" s="172"/>
      <c r="AA128" s="162">
        <f t="shared" si="2"/>
        <v>53934.974999999991</v>
      </c>
      <c r="AB128" s="162"/>
      <c r="AC128" s="162"/>
      <c r="AD128" s="71" t="s">
        <v>1582</v>
      </c>
      <c r="AE128" s="77">
        <v>106507213.69</v>
      </c>
    </row>
    <row r="129" spans="1:31" s="89" customFormat="1">
      <c r="A129" s="71" t="s">
        <v>154</v>
      </c>
      <c r="B129" s="72" t="s">
        <v>1761</v>
      </c>
      <c r="C129" s="69" t="s">
        <v>15</v>
      </c>
      <c r="D129" s="137" t="s">
        <v>679</v>
      </c>
      <c r="E129" s="136" t="s">
        <v>370</v>
      </c>
      <c r="F129" s="9" t="s">
        <v>475</v>
      </c>
      <c r="G129" s="136" t="s">
        <v>522</v>
      </c>
      <c r="H129" s="99" t="s">
        <v>1773</v>
      </c>
      <c r="I129" s="67">
        <v>1848</v>
      </c>
      <c r="J129" s="79" t="s">
        <v>694</v>
      </c>
      <c r="K129" s="79" t="s">
        <v>696</v>
      </c>
      <c r="L129" s="79" t="s">
        <v>698</v>
      </c>
      <c r="M129" s="79" t="s">
        <v>699</v>
      </c>
      <c r="N129" s="109" t="s">
        <v>701</v>
      </c>
      <c r="O129" s="76">
        <f>VLOOKUP(N129,Humo!C:P,4,0)</f>
        <v>18873.3</v>
      </c>
      <c r="P129" s="77">
        <f>VLOOKUP(N129,Humo!C:P,6,0)</f>
        <v>13429.6</v>
      </c>
      <c r="Q129" s="77">
        <f>VLOOKUP(N129,Humo!C:P,8,0)</f>
        <v>22583</v>
      </c>
      <c r="R129" s="77">
        <f>VLOOKUP(N129,Humo!C:P,10,0)</f>
        <v>1961.6</v>
      </c>
      <c r="S129" s="77">
        <f>VLOOKUP(N129,Humo!C:P,12,0)</f>
        <v>2578.5500000000002</v>
      </c>
      <c r="T129" s="77">
        <f>VLOOKUP(N129,Humo!C:P,14,0)</f>
        <v>3139.9</v>
      </c>
      <c r="U129" s="77">
        <f>IFERROR(VLOOKUP(N129,'2026 iyul humo'!A:D,4,0),"0")/1000</f>
        <v>3727.75</v>
      </c>
      <c r="V129" s="77"/>
      <c r="W129" s="77"/>
      <c r="X129" s="77"/>
      <c r="Y129" s="77"/>
      <c r="Z129" s="77"/>
      <c r="AA129" s="162">
        <f t="shared" si="2"/>
        <v>66293.700000000012</v>
      </c>
      <c r="AB129" s="162"/>
      <c r="AC129" s="162"/>
      <c r="AD129" s="79" t="s">
        <v>1580</v>
      </c>
      <c r="AE129" s="88">
        <v>105827984.72</v>
      </c>
    </row>
    <row r="130" spans="1:31">
      <c r="A130" s="71" t="s">
        <v>155</v>
      </c>
      <c r="B130" s="72" t="s">
        <v>1761</v>
      </c>
      <c r="C130" s="68" t="s">
        <v>15</v>
      </c>
      <c r="D130" s="137" t="s">
        <v>679</v>
      </c>
      <c r="E130" s="135" t="s">
        <v>381</v>
      </c>
      <c r="F130" s="93" t="s">
        <v>382</v>
      </c>
      <c r="G130" s="94" t="s">
        <v>491</v>
      </c>
      <c r="H130" s="94"/>
      <c r="I130" s="94"/>
      <c r="J130" s="71">
        <v>419339</v>
      </c>
      <c r="K130" s="71" t="s">
        <v>697</v>
      </c>
      <c r="L130" s="71" t="s">
        <v>698</v>
      </c>
      <c r="M130" s="71" t="s">
        <v>700</v>
      </c>
      <c r="N130" s="75" t="s">
        <v>700</v>
      </c>
      <c r="O130" s="76">
        <f>IFERROR(VLOOKUP(N130,'2026 yanvar vash'!A:D,4,0),"0")/1000</f>
        <v>1051.9100000000001</v>
      </c>
      <c r="P130" s="173">
        <f>IFERROR(VLOOKUP(N130,'2026 fevral vash'!A:D,4,0),"0")/1000</f>
        <v>236.2</v>
      </c>
      <c r="Q130" s="173">
        <f>IFERROR(VLOOKUP(N130,'2026 mart vash'!A:D,4,0),"0")/1000</f>
        <v>353.7</v>
      </c>
      <c r="R130" s="173">
        <f>IFERROR(VLOOKUP(N130,'2026 aprel vash'!A:D,4,0),"0")/1000</f>
        <v>137.30000000000001</v>
      </c>
      <c r="S130" s="173">
        <f>IFERROR(VLOOKUP(N130,'2026 may vash'!A:D,4,0),"0")/1000</f>
        <v>0</v>
      </c>
      <c r="T130" s="173">
        <f>IFERROR(VLOOKUP(N130,'2026 iyun vash'!A:D,4,0),"0")/1000</f>
        <v>0</v>
      </c>
      <c r="U130" s="173">
        <f>IFERROR(VLOOKUP(N130,'2026 iyul vash'!A:D,4,0),"0")/1000</f>
        <v>0.11</v>
      </c>
      <c r="V130" s="173"/>
      <c r="W130" s="173"/>
      <c r="X130" s="173"/>
      <c r="Y130" s="173"/>
      <c r="Z130" s="173"/>
      <c r="AA130" s="162">
        <f t="shared" si="2"/>
        <v>1779.22</v>
      </c>
      <c r="AB130" s="162"/>
      <c r="AC130" s="162"/>
      <c r="AD130" s="71" t="s">
        <v>1577</v>
      </c>
      <c r="AE130" s="77">
        <v>216557286.44999999</v>
      </c>
    </row>
    <row r="131" spans="1:31">
      <c r="A131" s="71" t="s">
        <v>156</v>
      </c>
      <c r="B131" s="72" t="s">
        <v>1761</v>
      </c>
      <c r="C131" s="68" t="s">
        <v>15</v>
      </c>
      <c r="D131" s="138" t="s">
        <v>680</v>
      </c>
      <c r="E131" s="135" t="s">
        <v>364</v>
      </c>
      <c r="F131" s="9" t="s">
        <v>475</v>
      </c>
      <c r="G131" s="135" t="s">
        <v>522</v>
      </c>
      <c r="H131" s="90" t="s">
        <v>1780</v>
      </c>
      <c r="I131" s="67">
        <v>1128.7</v>
      </c>
      <c r="J131" s="71" t="s">
        <v>702</v>
      </c>
      <c r="K131" s="71" t="s">
        <v>704</v>
      </c>
      <c r="L131" s="139" t="s">
        <v>1472</v>
      </c>
      <c r="M131" s="71">
        <v>901122685</v>
      </c>
      <c r="N131" s="75">
        <v>23658</v>
      </c>
      <c r="O131" s="76">
        <f>VLOOKUP(N131,Uzcard!C:P,4,0)</f>
        <v>19896.5</v>
      </c>
      <c r="P131" s="76">
        <f>VLOOKUP(N131,Uzcard!C:P,6,0)</f>
        <v>18308.75</v>
      </c>
      <c r="Q131" s="76">
        <f>VLOOKUP(N131,Uzcard!C:P,8,0)</f>
        <v>30383.95</v>
      </c>
      <c r="R131" s="76">
        <f>VLOOKUP(N131,Uzcard!C:P,10,0)</f>
        <v>22094.15</v>
      </c>
      <c r="S131" s="76">
        <f>VLOOKUP(N131,Uzcard!C:P,12,0)</f>
        <v>19911.7</v>
      </c>
      <c r="T131" s="76">
        <f>VLOOKUP(N131,Uzcard!C:P,14,0)</f>
        <v>23874.6</v>
      </c>
      <c r="U131" s="172">
        <f>IFERROR(VLOOKUP(N131,'2026 iyul uzcard'!A:D,3,0),"0")/1000</f>
        <v>19460.3</v>
      </c>
      <c r="V131" s="172"/>
      <c r="W131" s="172"/>
      <c r="X131" s="172"/>
      <c r="Y131" s="172"/>
      <c r="Z131" s="172"/>
      <c r="AA131" s="162">
        <f t="shared" si="2"/>
        <v>153929.94999999998</v>
      </c>
      <c r="AB131" s="162"/>
      <c r="AC131" s="162"/>
      <c r="AD131" s="71" t="s">
        <v>1582</v>
      </c>
      <c r="AE131" s="77">
        <v>106507213.69</v>
      </c>
    </row>
    <row r="132" spans="1:31">
      <c r="A132" s="71" t="s">
        <v>157</v>
      </c>
      <c r="B132" s="72" t="s">
        <v>1761</v>
      </c>
      <c r="C132" s="68" t="s">
        <v>15</v>
      </c>
      <c r="D132" s="138" t="s">
        <v>680</v>
      </c>
      <c r="E132" s="135" t="s">
        <v>370</v>
      </c>
      <c r="F132" s="136" t="s">
        <v>371</v>
      </c>
      <c r="G132" s="135" t="s">
        <v>522</v>
      </c>
      <c r="H132" s="98" t="s">
        <v>1773</v>
      </c>
      <c r="I132" s="67">
        <v>1848</v>
      </c>
      <c r="J132" s="71" t="s">
        <v>703</v>
      </c>
      <c r="K132" s="71" t="s">
        <v>705</v>
      </c>
      <c r="L132" s="139" t="s">
        <v>1472</v>
      </c>
      <c r="M132" s="71" t="s">
        <v>707</v>
      </c>
      <c r="N132" s="75" t="s">
        <v>708</v>
      </c>
      <c r="O132" s="76">
        <f>VLOOKUP(N132,Humo!C:P,4,0)</f>
        <v>18550.5</v>
      </c>
      <c r="P132" s="77">
        <f>VLOOKUP(N132,Humo!C:P,6,0)</f>
        <v>20665.900000000001</v>
      </c>
      <c r="Q132" s="77">
        <f>VLOOKUP(N132,Humo!C:P,8,0)</f>
        <v>31385.599999999999</v>
      </c>
      <c r="R132" s="77">
        <f>VLOOKUP(N132,Humo!C:P,10,0)</f>
        <v>26422.1</v>
      </c>
      <c r="S132" s="77">
        <f>VLOOKUP(N132,Humo!C:P,12,0)</f>
        <v>21043.200000000001</v>
      </c>
      <c r="T132" s="77">
        <f>VLOOKUP(N132,Humo!C:P,14,0)</f>
        <v>28038.2</v>
      </c>
      <c r="U132" s="77">
        <f>IFERROR(VLOOKUP(N132,'2026 iyul humo'!A:D,4,0),"0")/1000</f>
        <v>26193.55</v>
      </c>
      <c r="V132" s="77"/>
      <c r="W132" s="77"/>
      <c r="X132" s="77"/>
      <c r="Y132" s="77"/>
      <c r="Z132" s="77"/>
      <c r="AA132" s="162">
        <f t="shared" ref="AA132:AA198" si="3">+SUM(O132:Z132)</f>
        <v>172299.05</v>
      </c>
      <c r="AB132" s="162"/>
      <c r="AC132" s="162"/>
      <c r="AD132" s="71" t="s">
        <v>1577</v>
      </c>
      <c r="AE132" s="77">
        <v>62805331</v>
      </c>
    </row>
    <row r="133" spans="1:31">
      <c r="A133" s="71" t="s">
        <v>158</v>
      </c>
      <c r="B133" s="72" t="s">
        <v>1761</v>
      </c>
      <c r="C133" s="68" t="s">
        <v>15</v>
      </c>
      <c r="D133" s="138" t="s">
        <v>680</v>
      </c>
      <c r="E133" s="135" t="s">
        <v>381</v>
      </c>
      <c r="F133" s="93" t="s">
        <v>382</v>
      </c>
      <c r="G133" s="94" t="s">
        <v>491</v>
      </c>
      <c r="H133" s="94"/>
      <c r="I133" s="94"/>
      <c r="J133" s="71">
        <v>1519339</v>
      </c>
      <c r="K133" s="71" t="s">
        <v>706</v>
      </c>
      <c r="L133" s="139" t="s">
        <v>1472</v>
      </c>
      <c r="M133" s="71" t="s">
        <v>709</v>
      </c>
      <c r="N133" s="75" t="s">
        <v>709</v>
      </c>
      <c r="O133" s="76">
        <f>IFERROR(VLOOKUP(N133,'2026 yanvar vash'!A:D,4,0),"0")/1000</f>
        <v>101.65</v>
      </c>
      <c r="P133" s="173">
        <f>IFERROR(VLOOKUP(N133,'2026 fevral vash'!A:D,4,0),"0")/1000</f>
        <v>6</v>
      </c>
      <c r="Q133" s="173">
        <f>IFERROR(VLOOKUP(N133,'2026 mart vash'!A:D,4,0),"0")/1000</f>
        <v>0.1</v>
      </c>
      <c r="R133" s="173">
        <f>IFERROR(VLOOKUP(N133,'2026 aprel vash'!A:D,4,0),"0")/1000</f>
        <v>0</v>
      </c>
      <c r="S133" s="173">
        <f>IFERROR(VLOOKUP(N133,'2026 may vash'!A:D,4,0),"0")/1000</f>
        <v>0.11</v>
      </c>
      <c r="T133" s="173">
        <f>IFERROR(VLOOKUP(N133,'2026 iyun vash'!A:D,4,0),"0")/1000</f>
        <v>41</v>
      </c>
      <c r="U133" s="173">
        <f>IFERROR(VLOOKUP(N133,'2026 iyul vash'!A:D,4,0),"0")/1000</f>
        <v>59</v>
      </c>
      <c r="V133" s="173"/>
      <c r="W133" s="173"/>
      <c r="X133" s="173"/>
      <c r="Y133" s="173"/>
      <c r="Z133" s="173"/>
      <c r="AA133" s="162">
        <f t="shared" si="3"/>
        <v>207.86</v>
      </c>
      <c r="AB133" s="162"/>
      <c r="AC133" s="162"/>
      <c r="AD133" s="71" t="s">
        <v>1578</v>
      </c>
      <c r="AE133" s="77">
        <v>216557286.44999999</v>
      </c>
    </row>
    <row r="134" spans="1:31">
      <c r="A134" s="71" t="s">
        <v>159</v>
      </c>
      <c r="B134" s="72" t="s">
        <v>1761</v>
      </c>
      <c r="C134" s="68" t="s">
        <v>15</v>
      </c>
      <c r="D134" s="135" t="s">
        <v>681</v>
      </c>
      <c r="E134" s="135" t="s">
        <v>364</v>
      </c>
      <c r="F134" s="11" t="s">
        <v>474</v>
      </c>
      <c r="G134" s="135" t="s">
        <v>522</v>
      </c>
      <c r="H134" s="135"/>
      <c r="I134" s="135"/>
      <c r="J134" s="71" t="s">
        <v>685</v>
      </c>
      <c r="K134" s="71" t="s">
        <v>686</v>
      </c>
      <c r="L134" s="135" t="s">
        <v>689</v>
      </c>
      <c r="M134" s="71">
        <v>901115137</v>
      </c>
      <c r="N134" s="75">
        <v>15906</v>
      </c>
      <c r="O134" s="76">
        <f>VLOOKUP(N134,Uzcard!C:P,4,0)</f>
        <v>10970.125</v>
      </c>
      <c r="P134" s="76">
        <f>VLOOKUP(N134,Uzcard!C:P,6,0)</f>
        <v>10861.075000000001</v>
      </c>
      <c r="Q134" s="76">
        <f>VLOOKUP(N134,Uzcard!C:P,8,0)</f>
        <v>10529.825000000001</v>
      </c>
      <c r="R134" s="76">
        <f>VLOOKUP(N134,Uzcard!C:P,10,0)</f>
        <v>11164.375</v>
      </c>
      <c r="S134" s="76">
        <f>VLOOKUP(N134,Uzcard!C:P,12,0)</f>
        <v>8378.4500000000007</v>
      </c>
      <c r="T134" s="76">
        <f>VLOOKUP(N134,Uzcard!C:P,14,0)</f>
        <v>6364.875</v>
      </c>
      <c r="U134" s="172">
        <f>IFERROR(VLOOKUP(N134,'2026 iyul uzcard'!A:D,3,0),"0")/1000</f>
        <v>4097.625</v>
      </c>
      <c r="V134" s="172"/>
      <c r="W134" s="172"/>
      <c r="X134" s="172"/>
      <c r="Y134" s="172"/>
      <c r="Z134" s="172"/>
      <c r="AA134" s="162">
        <f t="shared" si="3"/>
        <v>62366.350000000006</v>
      </c>
      <c r="AB134" s="162"/>
      <c r="AC134" s="162"/>
      <c r="AD134" s="71" t="s">
        <v>1506</v>
      </c>
      <c r="AE134" s="77">
        <v>131315497</v>
      </c>
    </row>
    <row r="135" spans="1:31">
      <c r="A135" s="71" t="s">
        <v>160</v>
      </c>
      <c r="B135" s="72" t="s">
        <v>1761</v>
      </c>
      <c r="C135" s="68" t="s">
        <v>15</v>
      </c>
      <c r="D135" s="135" t="s">
        <v>681</v>
      </c>
      <c r="E135" s="135" t="s">
        <v>370</v>
      </c>
      <c r="F135" s="136" t="s">
        <v>371</v>
      </c>
      <c r="G135" s="135" t="s">
        <v>522</v>
      </c>
      <c r="H135" s="98" t="s">
        <v>1773</v>
      </c>
      <c r="I135" s="67">
        <v>1848</v>
      </c>
      <c r="J135" s="71" t="s">
        <v>712</v>
      </c>
      <c r="K135" s="71" t="s">
        <v>713</v>
      </c>
      <c r="L135" s="71" t="s">
        <v>714</v>
      </c>
      <c r="M135" s="71" t="s">
        <v>715</v>
      </c>
      <c r="N135" s="75" t="s">
        <v>716</v>
      </c>
      <c r="O135" s="76">
        <f>VLOOKUP(N135,Humo!C:P,4,0)</f>
        <v>6896.2</v>
      </c>
      <c r="P135" s="77">
        <f>VLOOKUP(N135,Humo!C:P,6,0)</f>
        <v>5163</v>
      </c>
      <c r="Q135" s="77">
        <f>VLOOKUP(N135,Humo!C:P,8,0)</f>
        <v>6419.9</v>
      </c>
      <c r="R135" s="77">
        <f>VLOOKUP(N135,Humo!C:P,10,0)</f>
        <v>5567.8</v>
      </c>
      <c r="S135" s="77">
        <f>VLOOKUP(N135,Humo!C:P,12,0)</f>
        <v>6395.6</v>
      </c>
      <c r="T135" s="77">
        <f>VLOOKUP(N135,Humo!C:P,14,0)</f>
        <v>5218.3999999999996</v>
      </c>
      <c r="U135" s="77">
        <f>IFERROR(VLOOKUP(N135,'2026 iyul humo'!A:D,4,0),"0")/1000</f>
        <v>3966.35</v>
      </c>
      <c r="V135" s="77"/>
      <c r="W135" s="77"/>
      <c r="X135" s="77"/>
      <c r="Y135" s="77"/>
      <c r="Z135" s="77"/>
      <c r="AA135" s="162">
        <f t="shared" si="3"/>
        <v>39627.25</v>
      </c>
      <c r="AB135" s="162"/>
      <c r="AC135" s="162"/>
      <c r="AD135" s="71" t="s">
        <v>1577</v>
      </c>
      <c r="AE135" s="77">
        <v>62805331</v>
      </c>
    </row>
    <row r="136" spans="1:31">
      <c r="A136" s="71" t="s">
        <v>161</v>
      </c>
      <c r="B136" s="72" t="s">
        <v>1761</v>
      </c>
      <c r="C136" s="68" t="s">
        <v>15</v>
      </c>
      <c r="D136" s="136" t="s">
        <v>682</v>
      </c>
      <c r="E136" s="135" t="s">
        <v>364</v>
      </c>
      <c r="F136" s="9" t="s">
        <v>475</v>
      </c>
      <c r="G136" s="135" t="s">
        <v>522</v>
      </c>
      <c r="H136" s="90" t="s">
        <v>1780</v>
      </c>
      <c r="I136" s="67">
        <v>1128.7</v>
      </c>
      <c r="J136" s="71" t="s">
        <v>717</v>
      </c>
      <c r="K136" s="71" t="s">
        <v>718</v>
      </c>
      <c r="L136" s="71" t="s">
        <v>719</v>
      </c>
      <c r="M136" s="71">
        <v>901120644</v>
      </c>
      <c r="N136" s="75">
        <v>21533</v>
      </c>
      <c r="O136" s="76">
        <f>VLOOKUP(N136,Uzcard!C:P,4,0)</f>
        <v>4512.05</v>
      </c>
      <c r="P136" s="76">
        <f>VLOOKUP(N136,Uzcard!C:P,6,0)</f>
        <v>5795.0749999999998</v>
      </c>
      <c r="Q136" s="76">
        <f>VLOOKUP(N136,Uzcard!C:P,8,0)</f>
        <v>5465.7749999999996</v>
      </c>
      <c r="R136" s="76">
        <f>VLOOKUP(N136,Uzcard!C:P,10,0)</f>
        <v>6455.5</v>
      </c>
      <c r="S136" s="76">
        <f>VLOOKUP(N136,Uzcard!C:P,12,0)</f>
        <v>4763.4750000000004</v>
      </c>
      <c r="T136" s="76">
        <f>VLOOKUP(N136,Uzcard!C:P,14,0)</f>
        <v>6094.65</v>
      </c>
      <c r="U136" s="172">
        <f>IFERROR(VLOOKUP(N136,'2026 iyul uzcard'!A:D,3,0),"0")/1000</f>
        <v>7145.9</v>
      </c>
      <c r="V136" s="172"/>
      <c r="W136" s="172"/>
      <c r="X136" s="172"/>
      <c r="Y136" s="172"/>
      <c r="Z136" s="172"/>
      <c r="AA136" s="162">
        <f t="shared" si="3"/>
        <v>40232.425000000003</v>
      </c>
      <c r="AB136" s="162"/>
      <c r="AC136" s="162"/>
      <c r="AD136" s="71" t="s">
        <v>1583</v>
      </c>
      <c r="AE136" s="77">
        <v>131315497</v>
      </c>
    </row>
    <row r="137" spans="1:31">
      <c r="A137" s="71" t="s">
        <v>162</v>
      </c>
      <c r="B137" s="72" t="s">
        <v>1761</v>
      </c>
      <c r="C137" s="68" t="s">
        <v>15</v>
      </c>
      <c r="D137" s="136" t="s">
        <v>682</v>
      </c>
      <c r="E137" s="135" t="s">
        <v>370</v>
      </c>
      <c r="F137" s="136" t="s">
        <v>371</v>
      </c>
      <c r="G137" s="135" t="s">
        <v>522</v>
      </c>
      <c r="H137" s="98" t="s">
        <v>1773</v>
      </c>
      <c r="I137" s="67">
        <v>1848</v>
      </c>
      <c r="J137" s="71" t="s">
        <v>720</v>
      </c>
      <c r="K137" s="71" t="s">
        <v>721</v>
      </c>
      <c r="L137" s="71" t="s">
        <v>719</v>
      </c>
      <c r="M137" s="71" t="s">
        <v>722</v>
      </c>
      <c r="N137" s="75" t="s">
        <v>723</v>
      </c>
      <c r="O137" s="76">
        <f>VLOOKUP(N137,Humo!C:P,4,0)</f>
        <v>12043.1</v>
      </c>
      <c r="P137" s="77">
        <f>VLOOKUP(N137,Humo!C:P,6,0)</f>
        <v>5489.85</v>
      </c>
      <c r="Q137" s="77">
        <f>VLOOKUP(N137,Humo!C:P,8,0)</f>
        <v>13087.85</v>
      </c>
      <c r="R137" s="77">
        <f>VLOOKUP(N137,Humo!C:P,10,0)</f>
        <v>9960.4</v>
      </c>
      <c r="S137" s="77">
        <f>VLOOKUP(N137,Humo!C:P,12,0)</f>
        <v>8731.4</v>
      </c>
      <c r="T137" s="77">
        <f>VLOOKUP(N137,Humo!C:P,14,0)</f>
        <v>16727.400000000001</v>
      </c>
      <c r="U137" s="77">
        <f>IFERROR(VLOOKUP(N137,'2026 iyul humo'!A:D,4,0),"0")/1000</f>
        <v>14063.875</v>
      </c>
      <c r="V137" s="77"/>
      <c r="W137" s="77"/>
      <c r="X137" s="77"/>
      <c r="Y137" s="77"/>
      <c r="Z137" s="77"/>
      <c r="AA137" s="162">
        <f t="shared" si="3"/>
        <v>80103.875</v>
      </c>
      <c r="AB137" s="162"/>
      <c r="AC137" s="162"/>
      <c r="AD137" s="71" t="s">
        <v>1577</v>
      </c>
      <c r="AE137" s="77">
        <v>63098415.920000002</v>
      </c>
    </row>
    <row r="138" spans="1:31">
      <c r="A138" s="71" t="s">
        <v>163</v>
      </c>
      <c r="B138" s="72" t="s">
        <v>1761</v>
      </c>
      <c r="C138" s="68" t="s">
        <v>15</v>
      </c>
      <c r="D138" s="136" t="s">
        <v>683</v>
      </c>
      <c r="E138" s="135" t="s">
        <v>364</v>
      </c>
      <c r="F138" s="9" t="s">
        <v>475</v>
      </c>
      <c r="G138" s="135" t="s">
        <v>522</v>
      </c>
      <c r="H138" s="90" t="s">
        <v>1780</v>
      </c>
      <c r="I138" s="67">
        <v>1128.7</v>
      </c>
      <c r="J138" s="71" t="s">
        <v>724</v>
      </c>
      <c r="K138" s="71" t="s">
        <v>725</v>
      </c>
      <c r="L138" s="71" t="s">
        <v>726</v>
      </c>
      <c r="M138" s="71">
        <v>901120469</v>
      </c>
      <c r="N138" s="75">
        <v>21354</v>
      </c>
      <c r="O138" s="76">
        <f>VLOOKUP(N138,Uzcard!C:P,4,0)</f>
        <v>461.15</v>
      </c>
      <c r="P138" s="76">
        <f>VLOOKUP(N138,Uzcard!C:P,6,0)</f>
        <v>889.15</v>
      </c>
      <c r="Q138" s="76">
        <f>VLOOKUP(N138,Uzcard!C:P,8,0)</f>
        <v>1416.1</v>
      </c>
      <c r="R138" s="76">
        <f>VLOOKUP(N138,Uzcard!C:P,10,0)</f>
        <v>1690.8</v>
      </c>
      <c r="S138" s="76">
        <f>VLOOKUP(N138,Uzcard!C:P,12,0)</f>
        <v>1551.5</v>
      </c>
      <c r="T138" s="76">
        <f>VLOOKUP(N138,Uzcard!C:P,14,0)</f>
        <v>1712.75</v>
      </c>
      <c r="U138" s="172">
        <f>IFERROR(VLOOKUP(N138,'2026 iyul uzcard'!A:D,3,0),"0")/1000</f>
        <v>1623.4</v>
      </c>
      <c r="V138" s="172"/>
      <c r="W138" s="172"/>
      <c r="X138" s="172"/>
      <c r="Y138" s="172"/>
      <c r="Z138" s="172"/>
      <c r="AA138" s="162">
        <f t="shared" si="3"/>
        <v>9344.85</v>
      </c>
      <c r="AB138" s="162"/>
      <c r="AC138" s="162"/>
      <c r="AD138" s="71" t="s">
        <v>1581</v>
      </c>
      <c r="AE138" s="77">
        <v>131315497</v>
      </c>
    </row>
    <row r="139" spans="1:31">
      <c r="A139" s="71" t="s">
        <v>164</v>
      </c>
      <c r="B139" s="72" t="s">
        <v>1761</v>
      </c>
      <c r="C139" s="68" t="s">
        <v>15</v>
      </c>
      <c r="D139" s="135" t="s">
        <v>684</v>
      </c>
      <c r="E139" s="135" t="s">
        <v>370</v>
      </c>
      <c r="F139" s="136" t="s">
        <v>371</v>
      </c>
      <c r="G139" s="135" t="s">
        <v>522</v>
      </c>
      <c r="H139" s="98" t="s">
        <v>1773</v>
      </c>
      <c r="I139" s="67">
        <v>1848</v>
      </c>
      <c r="J139" s="71">
        <v>5310181435</v>
      </c>
      <c r="K139" s="71" t="s">
        <v>727</v>
      </c>
      <c r="L139" s="71" t="s">
        <v>728</v>
      </c>
      <c r="M139" s="71" t="s">
        <v>729</v>
      </c>
      <c r="N139" s="75" t="s">
        <v>730</v>
      </c>
      <c r="O139" s="76">
        <f>VLOOKUP(N139,Humo!C:P,4,0)</f>
        <v>6506.9</v>
      </c>
      <c r="P139" s="77">
        <f>VLOOKUP(N139,Humo!C:P,6,0)</f>
        <v>2014.2</v>
      </c>
      <c r="Q139" s="77">
        <f>VLOOKUP(N139,Humo!C:P,8,0)</f>
        <v>1129.2</v>
      </c>
      <c r="R139" s="77">
        <f>VLOOKUP(N139,Humo!C:P,10,0)</f>
        <v>6023.3</v>
      </c>
      <c r="S139" s="77">
        <f>VLOOKUP(N139,Humo!C:P,12,0)</f>
        <v>6805</v>
      </c>
      <c r="T139" s="77">
        <f>VLOOKUP(N139,Humo!C:P,14,0)</f>
        <v>6092.2</v>
      </c>
      <c r="U139" s="77">
        <f>IFERROR(VLOOKUP(N139,'2026 iyul humo'!A:D,4,0),"0")/1000</f>
        <v>4461.2</v>
      </c>
      <c r="V139" s="77"/>
      <c r="W139" s="77"/>
      <c r="X139" s="77"/>
      <c r="Y139" s="77"/>
      <c r="Z139" s="77"/>
      <c r="AA139" s="162">
        <f t="shared" si="3"/>
        <v>33032</v>
      </c>
      <c r="AB139" s="162"/>
      <c r="AC139" s="162"/>
      <c r="AD139" s="71" t="s">
        <v>1579</v>
      </c>
      <c r="AE139" s="77">
        <v>62805331</v>
      </c>
    </row>
    <row r="140" spans="1:31">
      <c r="A140" s="71" t="s">
        <v>165</v>
      </c>
      <c r="B140" s="72" t="s">
        <v>1761</v>
      </c>
      <c r="C140" s="68" t="s">
        <v>15</v>
      </c>
      <c r="D140" s="83" t="s">
        <v>24</v>
      </c>
      <c r="E140" s="135" t="s">
        <v>364</v>
      </c>
      <c r="F140" s="11" t="s">
        <v>474</v>
      </c>
      <c r="G140" s="165" t="s">
        <v>491</v>
      </c>
      <c r="H140" s="135"/>
      <c r="I140" s="135"/>
      <c r="J140" s="71" t="s">
        <v>710</v>
      </c>
      <c r="K140" s="71" t="s">
        <v>711</v>
      </c>
      <c r="L140" s="71" t="s">
        <v>714</v>
      </c>
      <c r="M140" s="71">
        <v>901115138</v>
      </c>
      <c r="N140" s="75">
        <v>15907</v>
      </c>
      <c r="O140" s="76">
        <f>VLOOKUP(N140,Uzcard!C:P,4,0)</f>
        <v>2478.0500000000002</v>
      </c>
      <c r="P140" s="76">
        <f>VLOOKUP(N140,Uzcard!C:P,6,0)</f>
        <v>2229.8000000000002</v>
      </c>
      <c r="Q140" s="76">
        <f>VLOOKUP(N140,Uzcard!C:P,8,0)</f>
        <v>2159.0749999999998</v>
      </c>
      <c r="R140" s="76">
        <f>VLOOKUP(N140,Uzcard!C:P,10,0)</f>
        <v>2061.6750000000002</v>
      </c>
      <c r="S140" s="76">
        <f>VLOOKUP(N140,Uzcard!C:P,12,0)</f>
        <v>22.85</v>
      </c>
      <c r="T140" s="76">
        <f>VLOOKUP(N140,Uzcard!C:P,14,0)</f>
        <v>41</v>
      </c>
      <c r="U140" s="172">
        <f>IFERROR(VLOOKUP(N140,'2026 iyul uzcard'!A:D,3,0),"0")/1000</f>
        <v>0</v>
      </c>
      <c r="V140" s="172"/>
      <c r="W140" s="172"/>
      <c r="X140" s="172"/>
      <c r="Y140" s="172"/>
      <c r="Z140" s="172"/>
      <c r="AA140" s="162">
        <f t="shared" si="3"/>
        <v>8992.4500000000007</v>
      </c>
      <c r="AB140" s="162"/>
      <c r="AC140" s="162"/>
      <c r="AD140" s="71" t="s">
        <v>1580</v>
      </c>
      <c r="AE140" s="77">
        <v>144808314.5</v>
      </c>
    </row>
    <row r="141" spans="1:31">
      <c r="A141" s="71" t="s">
        <v>166</v>
      </c>
      <c r="B141" s="72" t="s">
        <v>1762</v>
      </c>
      <c r="C141" s="68" t="s">
        <v>16</v>
      </c>
      <c r="D141" s="140" t="s">
        <v>1245</v>
      </c>
      <c r="E141" s="140" t="s">
        <v>364</v>
      </c>
      <c r="F141" s="127" t="s">
        <v>475</v>
      </c>
      <c r="G141" s="140" t="s">
        <v>522</v>
      </c>
      <c r="H141" s="140"/>
      <c r="I141" s="140"/>
      <c r="J141" s="140" t="s">
        <v>944</v>
      </c>
      <c r="K141" s="140" t="s">
        <v>945</v>
      </c>
      <c r="L141" s="140" t="s">
        <v>946</v>
      </c>
      <c r="M141" s="140" t="s">
        <v>947</v>
      </c>
      <c r="N141" s="141">
        <v>21336</v>
      </c>
      <c r="O141" s="76">
        <f>VLOOKUP(N141,Uzcard!C:P,4,0)</f>
        <v>10589</v>
      </c>
      <c r="P141" s="76">
        <f>VLOOKUP(N141,Uzcard!C:P,6,0)</f>
        <v>8772.9</v>
      </c>
      <c r="Q141" s="76">
        <f>VLOOKUP(N141,Uzcard!C:P,8,0)</f>
        <v>5027.3</v>
      </c>
      <c r="R141" s="76">
        <f>VLOOKUP(N141,Uzcard!C:P,10,0)</f>
        <v>5396.55</v>
      </c>
      <c r="S141" s="76">
        <f>VLOOKUP(N141,Uzcard!C:P,12,0)</f>
        <v>4921.05</v>
      </c>
      <c r="T141" s="76">
        <f>VLOOKUP(N141,Uzcard!C:P,14,0)</f>
        <v>2786.7</v>
      </c>
      <c r="U141" s="172">
        <f>IFERROR(VLOOKUP(N141,'2026 iyul uzcard'!A:D,3,0),"0")/1000</f>
        <v>5181.75</v>
      </c>
      <c r="V141" s="172"/>
      <c r="W141" s="172"/>
      <c r="X141" s="172"/>
      <c r="Y141" s="172"/>
      <c r="Z141" s="172"/>
      <c r="AA141" s="162">
        <f t="shared" si="3"/>
        <v>42675.25</v>
      </c>
      <c r="AB141" s="162"/>
      <c r="AC141" s="162"/>
      <c r="AD141" s="142" t="s">
        <v>1717</v>
      </c>
      <c r="AE141" s="77">
        <v>131315497</v>
      </c>
    </row>
    <row r="142" spans="1:31">
      <c r="A142" s="71" t="s">
        <v>167</v>
      </c>
      <c r="B142" s="72" t="s">
        <v>1762</v>
      </c>
      <c r="C142" s="68" t="s">
        <v>16</v>
      </c>
      <c r="D142" s="140" t="s">
        <v>1245</v>
      </c>
      <c r="E142" s="140" t="s">
        <v>370</v>
      </c>
      <c r="F142" s="127" t="s">
        <v>371</v>
      </c>
      <c r="G142" s="140" t="s">
        <v>522</v>
      </c>
      <c r="H142" s="98" t="s">
        <v>1773</v>
      </c>
      <c r="I142" s="67">
        <v>1848</v>
      </c>
      <c r="J142" s="140" t="s">
        <v>948</v>
      </c>
      <c r="K142" s="140" t="s">
        <v>949</v>
      </c>
      <c r="L142" s="140" t="s">
        <v>946</v>
      </c>
      <c r="M142" s="140" t="s">
        <v>950</v>
      </c>
      <c r="N142" s="181" t="s">
        <v>951</v>
      </c>
      <c r="O142" s="76">
        <f>VLOOKUP(N142,Humo!C:P,4,0)</f>
        <v>804.1</v>
      </c>
      <c r="P142" s="77">
        <f>VLOOKUP(N142,Humo!C:P,6,0)</f>
        <v>2936.5</v>
      </c>
      <c r="Q142" s="77">
        <f>VLOOKUP(N142,Humo!C:P,8,0)</f>
        <v>2681.5</v>
      </c>
      <c r="R142" s="77">
        <f>VLOOKUP(N142,Humo!C:P,10,0)</f>
        <v>1914</v>
      </c>
      <c r="S142" s="77">
        <f>VLOOKUP(N142,Humo!C:P,12,0)</f>
        <v>4690.6000000000004</v>
      </c>
      <c r="T142" s="77">
        <f>VLOOKUP(N142,Humo!C:P,14,0)</f>
        <v>362</v>
      </c>
      <c r="U142" s="77">
        <f>IFERROR(VLOOKUP(N142,'2026 iyul humo'!A:D,4,0),"0")/1000</f>
        <v>1.9</v>
      </c>
      <c r="V142" s="77"/>
      <c r="W142" s="77"/>
      <c r="X142" s="77"/>
      <c r="Y142" s="77"/>
      <c r="Z142" s="77"/>
      <c r="AA142" s="162">
        <f t="shared" si="3"/>
        <v>13390.6</v>
      </c>
      <c r="AB142" s="162"/>
      <c r="AC142" s="162"/>
      <c r="AD142" s="142" t="s">
        <v>1699</v>
      </c>
      <c r="AE142" s="77">
        <v>62805331</v>
      </c>
    </row>
    <row r="143" spans="1:31">
      <c r="A143" s="71" t="s">
        <v>168</v>
      </c>
      <c r="B143" s="72" t="s">
        <v>1762</v>
      </c>
      <c r="C143" s="68" t="s">
        <v>16</v>
      </c>
      <c r="D143" s="140" t="s">
        <v>1245</v>
      </c>
      <c r="E143" s="140" t="s">
        <v>381</v>
      </c>
      <c r="F143" s="127" t="s">
        <v>382</v>
      </c>
      <c r="G143" s="140" t="s">
        <v>491</v>
      </c>
      <c r="H143" s="140"/>
      <c r="I143" s="140"/>
      <c r="J143" s="140" t="s">
        <v>952</v>
      </c>
      <c r="K143" s="140" t="s">
        <v>953</v>
      </c>
      <c r="L143" s="140" t="s">
        <v>946</v>
      </c>
      <c r="M143" s="140" t="s">
        <v>954</v>
      </c>
      <c r="N143" s="181" t="s">
        <v>954</v>
      </c>
      <c r="O143" s="76">
        <f>IFERROR(VLOOKUP(N143,'2026 yanvar vash'!A:D,4,0),"0")/1000</f>
        <v>0</v>
      </c>
      <c r="P143" s="173">
        <f>IFERROR(VLOOKUP(N143,'2026 fevral vash'!A:D,4,0),"0")/1000</f>
        <v>0</v>
      </c>
      <c r="Q143" s="173">
        <f>IFERROR(VLOOKUP(N143,'2026 mart vash'!A:D,4,0),"0")/1000</f>
        <v>0</v>
      </c>
      <c r="R143" s="173">
        <f>IFERROR(VLOOKUP(N143,'2026 aprel vash'!A:D,4,0),"0")/1000</f>
        <v>0</v>
      </c>
      <c r="S143" s="173">
        <f>IFERROR(VLOOKUP(N143,'2026 may vash'!A:D,4,0),"0")/1000</f>
        <v>9.18</v>
      </c>
      <c r="T143" s="173">
        <f>IFERROR(VLOOKUP(N143,'2026 iyun vash'!A:D,4,0),"0")/1000</f>
        <v>1.5</v>
      </c>
      <c r="U143" s="173">
        <f>IFERROR(VLOOKUP(N143,'2026 iyul vash'!A:D,4,0),"0")/1000</f>
        <v>0.16</v>
      </c>
      <c r="V143" s="173"/>
      <c r="W143" s="173"/>
      <c r="X143" s="173"/>
      <c r="Y143" s="173"/>
      <c r="Z143" s="173"/>
      <c r="AA143" s="162">
        <f t="shared" si="3"/>
        <v>10.84</v>
      </c>
      <c r="AB143" s="162"/>
      <c r="AC143" s="162"/>
      <c r="AD143" s="142" t="s">
        <v>1711</v>
      </c>
      <c r="AE143" s="77">
        <v>216557286.44999999</v>
      </c>
    </row>
    <row r="144" spans="1:31">
      <c r="A144" s="71" t="s">
        <v>169</v>
      </c>
      <c r="B144" s="72" t="s">
        <v>1762</v>
      </c>
      <c r="C144" s="68" t="s">
        <v>16</v>
      </c>
      <c r="D144" s="182" t="s">
        <v>2171</v>
      </c>
      <c r="E144" s="140" t="s">
        <v>364</v>
      </c>
      <c r="F144" s="127" t="s">
        <v>474</v>
      </c>
      <c r="G144" s="182" t="s">
        <v>522</v>
      </c>
      <c r="H144" s="140"/>
      <c r="I144" s="140"/>
      <c r="J144" s="140" t="s">
        <v>934</v>
      </c>
      <c r="K144" s="140" t="s">
        <v>935</v>
      </c>
      <c r="L144" s="140" t="s">
        <v>936</v>
      </c>
      <c r="M144" s="140" t="s">
        <v>937</v>
      </c>
      <c r="N144" s="183">
        <v>15871</v>
      </c>
      <c r="O144" s="76">
        <f>VLOOKUP(N144,Uzcard!C:P,4,0)</f>
        <v>15934.35</v>
      </c>
      <c r="P144" s="76">
        <f>VLOOKUP(N144,Uzcard!C:P,6,0)</f>
        <v>15894.25</v>
      </c>
      <c r="Q144" s="76">
        <f>VLOOKUP(N144,Uzcard!C:P,8,0)</f>
        <v>5985.95</v>
      </c>
      <c r="R144" s="76">
        <f>VLOOKUP(N144,Uzcard!C:P,10,0)</f>
        <v>9558.75</v>
      </c>
      <c r="S144" s="76">
        <f>VLOOKUP(N144,Uzcard!C:P,12,0)</f>
        <v>15353.05</v>
      </c>
      <c r="T144" s="76">
        <f>VLOOKUP(N144,Uzcard!C:P,14,0)</f>
        <v>8978.9500000000007</v>
      </c>
      <c r="U144" s="172">
        <f>IFERROR(VLOOKUP(N144,'2026 iyul uzcard'!A:D,3,0),"0")/1000</f>
        <v>13075.95</v>
      </c>
      <c r="V144" s="172"/>
      <c r="W144" s="172"/>
      <c r="X144" s="172"/>
      <c r="Y144" s="172"/>
      <c r="Z144" s="172"/>
      <c r="AA144" s="162">
        <f t="shared" ref="AA144:AA146" si="4">+SUM(O144:Z144)</f>
        <v>84781.249999999985</v>
      </c>
      <c r="AB144" s="162"/>
      <c r="AC144" s="162"/>
      <c r="AD144" s="142" t="s">
        <v>1582</v>
      </c>
      <c r="AE144" s="77">
        <v>106507213.69</v>
      </c>
    </row>
    <row r="145" spans="1:31">
      <c r="A145" s="71" t="s">
        <v>170</v>
      </c>
      <c r="B145" s="72" t="s">
        <v>1762</v>
      </c>
      <c r="C145" s="68" t="s">
        <v>16</v>
      </c>
      <c r="D145" s="182" t="s">
        <v>2171</v>
      </c>
      <c r="E145" s="140" t="s">
        <v>370</v>
      </c>
      <c r="F145" s="127" t="s">
        <v>376</v>
      </c>
      <c r="G145" s="182" t="s">
        <v>522</v>
      </c>
      <c r="H145" s="98" t="s">
        <v>1773</v>
      </c>
      <c r="I145" s="67">
        <v>1848</v>
      </c>
      <c r="J145" s="127" t="s">
        <v>938</v>
      </c>
      <c r="K145" s="140" t="s">
        <v>939</v>
      </c>
      <c r="L145" s="140" t="s">
        <v>936</v>
      </c>
      <c r="M145" s="140" t="s">
        <v>940</v>
      </c>
      <c r="N145" s="183" t="s">
        <v>941</v>
      </c>
      <c r="O145" s="76">
        <f>VLOOKUP(N145,Humo!C:P,4,0)</f>
        <v>393.8</v>
      </c>
      <c r="P145" s="77">
        <f>VLOOKUP(N145,Humo!C:P,6,0)</f>
        <v>2229.1999999999998</v>
      </c>
      <c r="Q145" s="77">
        <f>VLOOKUP(N145,Humo!C:P,8,0)</f>
        <v>2124.6</v>
      </c>
      <c r="R145" s="77">
        <f>VLOOKUP(N145,Humo!C:P,10,0)</f>
        <v>1953.5</v>
      </c>
      <c r="S145" s="77">
        <f>VLOOKUP(N145,Humo!C:P,12,0)</f>
        <v>3926.6</v>
      </c>
      <c r="T145" s="77">
        <f>VLOOKUP(N145,Humo!C:P,14,0)</f>
        <v>2787.3</v>
      </c>
      <c r="U145" s="77">
        <f>IFERROR(VLOOKUP(N145,'2026 iyul humo'!A:D,4,0),"0")/1000</f>
        <v>2044.65</v>
      </c>
      <c r="V145" s="77"/>
      <c r="W145" s="77"/>
      <c r="X145" s="77"/>
      <c r="Y145" s="77"/>
      <c r="Z145" s="77"/>
      <c r="AA145" s="162">
        <f t="shared" si="4"/>
        <v>15459.65</v>
      </c>
      <c r="AB145" s="162"/>
      <c r="AC145" s="162"/>
      <c r="AD145" s="142" t="s">
        <v>1524</v>
      </c>
      <c r="AE145" s="77">
        <v>168243023</v>
      </c>
    </row>
    <row r="146" spans="1:31">
      <c r="A146" s="71" t="s">
        <v>171</v>
      </c>
      <c r="B146" s="72" t="s">
        <v>1762</v>
      </c>
      <c r="C146" s="68" t="s">
        <v>16</v>
      </c>
      <c r="D146" s="182" t="s">
        <v>2171</v>
      </c>
      <c r="E146" s="140" t="s">
        <v>381</v>
      </c>
      <c r="F146" s="127" t="s">
        <v>382</v>
      </c>
      <c r="G146" s="182" t="s">
        <v>522</v>
      </c>
      <c r="H146" s="140"/>
      <c r="I146" s="140"/>
      <c r="J146" s="140">
        <v>618258</v>
      </c>
      <c r="K146" s="140" t="s">
        <v>942</v>
      </c>
      <c r="L146" s="140" t="s">
        <v>936</v>
      </c>
      <c r="M146" s="140" t="s">
        <v>943</v>
      </c>
      <c r="N146" s="183" t="s">
        <v>943</v>
      </c>
      <c r="O146" s="76">
        <f>IFERROR(VLOOKUP(N146,'2026 yanvar vash'!A:D,4,0),"0")/1000</f>
        <v>0</v>
      </c>
      <c r="P146" s="173">
        <f>IFERROR(VLOOKUP(N146,'2026 fevral vash'!A:D,4,0),"0")/1000</f>
        <v>0</v>
      </c>
      <c r="Q146" s="173">
        <f>IFERROR(VLOOKUP(N146,'2026 mart vash'!A:D,4,0),"0")/1000</f>
        <v>0</v>
      </c>
      <c r="R146" s="173">
        <f>IFERROR(VLOOKUP(N146,'2026 aprel vash'!A:D,4,0),"0")/1000</f>
        <v>0</v>
      </c>
      <c r="S146" s="173">
        <f>IFERROR(VLOOKUP(N146,'2026 may vash'!A:D,4,0),"0")/1000</f>
        <v>0</v>
      </c>
      <c r="T146" s="173">
        <f>IFERROR(VLOOKUP(N146,'2026 iyun vash'!A:D,4,0),"0")/1000</f>
        <v>0</v>
      </c>
      <c r="U146" s="173">
        <f>IFERROR(VLOOKUP(N146,'2026 iyul vash'!A:D,4,0),"0")/1000</f>
        <v>0</v>
      </c>
      <c r="V146" s="173"/>
      <c r="W146" s="173"/>
      <c r="X146" s="173"/>
      <c r="Y146" s="173"/>
      <c r="Z146" s="173"/>
      <c r="AA146" s="162">
        <f t="shared" si="4"/>
        <v>0</v>
      </c>
      <c r="AB146" s="162"/>
      <c r="AC146" s="162"/>
      <c r="AD146" s="142" t="s">
        <v>1712</v>
      </c>
      <c r="AE146" s="77">
        <v>171904842.81999999</v>
      </c>
    </row>
    <row r="147" spans="1:31">
      <c r="A147" s="71" t="s">
        <v>172</v>
      </c>
      <c r="B147" s="72" t="s">
        <v>1762</v>
      </c>
      <c r="C147" s="68" t="s">
        <v>16</v>
      </c>
      <c r="D147" s="140" t="s">
        <v>932</v>
      </c>
      <c r="E147" s="140" t="s">
        <v>364</v>
      </c>
      <c r="F147" s="127" t="s">
        <v>475</v>
      </c>
      <c r="G147" s="140" t="s">
        <v>522</v>
      </c>
      <c r="H147" s="90" t="s">
        <v>1780</v>
      </c>
      <c r="I147" s="67">
        <v>1128.7</v>
      </c>
      <c r="J147" s="90" t="s">
        <v>1785</v>
      </c>
      <c r="K147" s="140" t="s">
        <v>961</v>
      </c>
      <c r="L147" s="140" t="s">
        <v>962</v>
      </c>
      <c r="M147" s="140">
        <v>901120422</v>
      </c>
      <c r="N147" s="141">
        <v>21313</v>
      </c>
      <c r="O147" s="76">
        <f>VLOOKUP(N147,Uzcard!C:P,4,0)</f>
        <v>1180.5999999999999</v>
      </c>
      <c r="P147" s="76">
        <f>VLOOKUP(N147,Uzcard!C:P,6,0)</f>
        <v>2719.2</v>
      </c>
      <c r="Q147" s="76">
        <f>VLOOKUP(N147,Uzcard!C:P,8,0)</f>
        <v>3940.85</v>
      </c>
      <c r="R147" s="76">
        <f>VLOOKUP(N147,Uzcard!C:P,10,0)</f>
        <v>3297.35</v>
      </c>
      <c r="S147" s="76">
        <f>VLOOKUP(N147,Uzcard!C:P,12,0)</f>
        <v>0</v>
      </c>
      <c r="T147" s="76">
        <f>VLOOKUP(N147,Uzcard!C:P,14,0)</f>
        <v>1206.3499999999999</v>
      </c>
      <c r="U147" s="172">
        <f>IFERROR(VLOOKUP(N147,'2026 iyul uzcard'!A:D,3,0),"0")/1000</f>
        <v>2293.5500000000002</v>
      </c>
      <c r="V147" s="172"/>
      <c r="W147" s="172"/>
      <c r="X147" s="172"/>
      <c r="Y147" s="172"/>
      <c r="Z147" s="172"/>
      <c r="AA147" s="162">
        <f t="shared" si="3"/>
        <v>14637.900000000001</v>
      </c>
      <c r="AB147" s="162"/>
      <c r="AC147" s="162"/>
      <c r="AD147" s="142" t="s">
        <v>1722</v>
      </c>
      <c r="AE147" s="77">
        <v>144808312</v>
      </c>
    </row>
    <row r="148" spans="1:31">
      <c r="A148" s="71" t="s">
        <v>173</v>
      </c>
      <c r="B148" s="72" t="s">
        <v>1762</v>
      </c>
      <c r="C148" s="68" t="s">
        <v>16</v>
      </c>
      <c r="D148" s="140" t="s">
        <v>932</v>
      </c>
      <c r="E148" s="140" t="s">
        <v>370</v>
      </c>
      <c r="F148" s="127" t="s">
        <v>376</v>
      </c>
      <c r="G148" s="135" t="s">
        <v>522</v>
      </c>
      <c r="H148" s="98" t="s">
        <v>1773</v>
      </c>
      <c r="I148" s="67">
        <v>1848</v>
      </c>
      <c r="J148" s="127" t="s">
        <v>963</v>
      </c>
      <c r="K148" s="140" t="s">
        <v>964</v>
      </c>
      <c r="L148" s="140" t="s">
        <v>962</v>
      </c>
      <c r="M148" s="140" t="s">
        <v>965</v>
      </c>
      <c r="N148" s="181" t="s">
        <v>966</v>
      </c>
      <c r="O148" s="76">
        <f>VLOOKUP(N148,Humo!C:P,4,0)</f>
        <v>0</v>
      </c>
      <c r="P148" s="77">
        <f>VLOOKUP(N148,Humo!C:P,6,0)</f>
        <v>0</v>
      </c>
      <c r="Q148" s="77">
        <f>VLOOKUP(N148,Humo!C:P,8,0)</f>
        <v>0</v>
      </c>
      <c r="R148" s="77">
        <f>VLOOKUP(N148,Humo!C:P,10,0)</f>
        <v>0</v>
      </c>
      <c r="S148" s="77">
        <f>VLOOKUP(N148,Humo!C:P,12,0)</f>
        <v>0</v>
      </c>
      <c r="T148" s="77">
        <f>VLOOKUP(N148,Humo!C:P,14,0)</f>
        <v>0</v>
      </c>
      <c r="U148" s="77">
        <f>IFERROR(VLOOKUP(N148,'2026 iyul humo'!A:D,4,0),"0")/1000</f>
        <v>0</v>
      </c>
      <c r="V148" s="77"/>
      <c r="W148" s="77"/>
      <c r="X148" s="77"/>
      <c r="Y148" s="77"/>
      <c r="Z148" s="77"/>
      <c r="AA148" s="162">
        <f t="shared" si="3"/>
        <v>0</v>
      </c>
      <c r="AB148" s="162"/>
      <c r="AC148" s="162"/>
      <c r="AD148" s="142" t="s">
        <v>1708</v>
      </c>
      <c r="AE148" s="77">
        <v>168243023</v>
      </c>
    </row>
    <row r="149" spans="1:31">
      <c r="A149" s="71" t="s">
        <v>174</v>
      </c>
      <c r="B149" s="72" t="s">
        <v>1762</v>
      </c>
      <c r="C149" s="68" t="s">
        <v>16</v>
      </c>
      <c r="D149" s="140" t="s">
        <v>932</v>
      </c>
      <c r="E149" s="140" t="s">
        <v>364</v>
      </c>
      <c r="F149" s="127" t="s">
        <v>475</v>
      </c>
      <c r="G149" s="140" t="s">
        <v>522</v>
      </c>
      <c r="H149" s="90" t="s">
        <v>1780</v>
      </c>
      <c r="I149" s="67">
        <v>1128.7</v>
      </c>
      <c r="J149" s="140" t="s">
        <v>1680</v>
      </c>
      <c r="K149" s="140" t="s">
        <v>1287</v>
      </c>
      <c r="L149" s="140" t="s">
        <v>1285</v>
      </c>
      <c r="M149" s="140" t="s">
        <v>1681</v>
      </c>
      <c r="N149" s="141">
        <v>25811</v>
      </c>
      <c r="O149" s="76">
        <f>VLOOKUP(N149,Uzcard!C:P,4,0)</f>
        <v>4155</v>
      </c>
      <c r="P149" s="76">
        <f>VLOOKUP(N149,Uzcard!C:P,6,0)</f>
        <v>2982.25</v>
      </c>
      <c r="Q149" s="76">
        <f>VLOOKUP(N149,Uzcard!C:P,8,0)</f>
        <v>4588.6000000000004</v>
      </c>
      <c r="R149" s="76">
        <f>VLOOKUP(N149,Uzcard!C:P,10,0)</f>
        <v>3281.4</v>
      </c>
      <c r="S149" s="76">
        <f>VLOOKUP(N149,Uzcard!C:P,12,0)</f>
        <v>0</v>
      </c>
      <c r="T149" s="76">
        <f>VLOOKUP(N149,Uzcard!C:P,14,0)</f>
        <v>0</v>
      </c>
      <c r="U149" s="172">
        <f>IFERROR(VLOOKUP(N149,'2026 iyul uzcard'!A:D,3,0),"0")/1000</f>
        <v>0</v>
      </c>
      <c r="V149" s="172"/>
      <c r="W149" s="172"/>
      <c r="X149" s="172"/>
      <c r="Y149" s="172"/>
      <c r="Z149" s="172"/>
      <c r="AA149" s="162">
        <f t="shared" si="3"/>
        <v>15007.25</v>
      </c>
      <c r="AB149" s="162"/>
      <c r="AC149" s="162"/>
      <c r="AD149" s="142" t="s">
        <v>1506</v>
      </c>
      <c r="AE149" s="77">
        <v>131315497</v>
      </c>
    </row>
    <row r="150" spans="1:31">
      <c r="A150" s="71" t="s">
        <v>175</v>
      </c>
      <c r="B150" s="72" t="s">
        <v>1762</v>
      </c>
      <c r="C150" s="68" t="s">
        <v>16</v>
      </c>
      <c r="D150" s="182" t="s">
        <v>2173</v>
      </c>
      <c r="E150" s="140" t="s">
        <v>370</v>
      </c>
      <c r="F150" s="127" t="s">
        <v>376</v>
      </c>
      <c r="G150" s="98" t="s">
        <v>491</v>
      </c>
      <c r="H150" s="98" t="s">
        <v>1773</v>
      </c>
      <c r="I150" s="67">
        <v>1848</v>
      </c>
      <c r="J150" s="127" t="s">
        <v>1459</v>
      </c>
      <c r="K150" s="127" t="s">
        <v>1700</v>
      </c>
      <c r="L150" s="140" t="s">
        <v>1476</v>
      </c>
      <c r="M150" s="140" t="s">
        <v>1304</v>
      </c>
      <c r="N150" s="141" t="s">
        <v>1299</v>
      </c>
      <c r="O150" s="76">
        <f>VLOOKUP(N150,Humo!C:P,4,0)</f>
        <v>3169.1</v>
      </c>
      <c r="P150" s="77">
        <f>VLOOKUP(N150,Humo!C:P,6,0)</f>
        <v>0</v>
      </c>
      <c r="Q150" s="77">
        <f>VLOOKUP(N150,Humo!C:P,8,0)</f>
        <v>0</v>
      </c>
      <c r="R150" s="77">
        <f>VLOOKUP(N150,Humo!C:P,10,0)</f>
        <v>0</v>
      </c>
      <c r="S150" s="77">
        <f>VLOOKUP(N150,Humo!C:P,12,0)</f>
        <v>0</v>
      </c>
      <c r="T150" s="77">
        <f>VLOOKUP(N150,Humo!C:P,14,0)</f>
        <v>0</v>
      </c>
      <c r="U150" s="77">
        <f>IFERROR(VLOOKUP(N150,'2026 iyul humo'!A:D,4,0),"0")/1000</f>
        <v>0</v>
      </c>
      <c r="V150" s="77"/>
      <c r="W150" s="77"/>
      <c r="X150" s="77"/>
      <c r="Y150" s="77"/>
      <c r="Z150" s="77"/>
      <c r="AA150" s="162">
        <f t="shared" si="3"/>
        <v>3169.1</v>
      </c>
      <c r="AB150" s="162"/>
      <c r="AC150" s="162"/>
      <c r="AD150" s="142" t="s">
        <v>1701</v>
      </c>
      <c r="AE150" s="77">
        <v>168243023</v>
      </c>
    </row>
    <row r="151" spans="1:31">
      <c r="A151" s="71" t="s">
        <v>176</v>
      </c>
      <c r="B151" s="72" t="s">
        <v>1762</v>
      </c>
      <c r="C151" s="68" t="s">
        <v>16</v>
      </c>
      <c r="D151" s="182" t="s">
        <v>2173</v>
      </c>
      <c r="E151" s="140" t="s">
        <v>370</v>
      </c>
      <c r="F151" s="127" t="s">
        <v>371</v>
      </c>
      <c r="G151" s="140" t="s">
        <v>522</v>
      </c>
      <c r="H151" s="140"/>
      <c r="I151" s="140"/>
      <c r="J151" s="184" t="s">
        <v>2177</v>
      </c>
      <c r="K151" s="140" t="s">
        <v>1726</v>
      </c>
      <c r="L151" s="140" t="s">
        <v>1241</v>
      </c>
      <c r="M151" s="140" t="s">
        <v>1242</v>
      </c>
      <c r="N151" s="141" t="s">
        <v>1679</v>
      </c>
      <c r="O151" s="76">
        <f>VLOOKUP(N151,Humo!C:P,4,0)</f>
        <v>0</v>
      </c>
      <c r="P151" s="77">
        <f>VLOOKUP(N151,Humo!C:P,6,0)</f>
        <v>0</v>
      </c>
      <c r="Q151" s="77">
        <f>VLOOKUP(N151,Humo!C:P,8,0)</f>
        <v>1871.9306930693069</v>
      </c>
      <c r="R151" s="77">
        <f>VLOOKUP(N151,Humo!C:P,10,0)</f>
        <v>7233.1831683168321</v>
      </c>
      <c r="S151" s="77">
        <f>VLOOKUP(N151,Humo!C:P,12,0)</f>
        <v>5014.662376237623</v>
      </c>
      <c r="T151" s="77">
        <f>VLOOKUP(N151,Humo!C:P,14,0)</f>
        <v>545.4</v>
      </c>
      <c r="U151" s="77">
        <f>IFERROR(VLOOKUP(N151,'2026 iyul humo'!A:D,4,0),"0")/1000</f>
        <v>41.15</v>
      </c>
      <c r="V151" s="77"/>
      <c r="W151" s="77"/>
      <c r="X151" s="77"/>
      <c r="Y151" s="77"/>
      <c r="Z151" s="77"/>
      <c r="AA151" s="162">
        <f t="shared" si="3"/>
        <v>14706.326237623762</v>
      </c>
      <c r="AB151" s="162"/>
      <c r="AC151" s="162"/>
      <c r="AD151" s="142" t="s">
        <v>1506</v>
      </c>
      <c r="AE151" s="77">
        <v>62805331</v>
      </c>
    </row>
    <row r="152" spans="1:31">
      <c r="A152" s="71" t="s">
        <v>177</v>
      </c>
      <c r="B152" s="72" t="s">
        <v>1762</v>
      </c>
      <c r="C152" s="68" t="s">
        <v>16</v>
      </c>
      <c r="D152" s="182" t="s">
        <v>2173</v>
      </c>
      <c r="E152" s="140" t="s">
        <v>364</v>
      </c>
      <c r="F152" s="127" t="s">
        <v>475</v>
      </c>
      <c r="G152" s="140" t="s">
        <v>522</v>
      </c>
      <c r="H152" s="140"/>
      <c r="I152" s="140"/>
      <c r="J152" s="140"/>
      <c r="K152" s="127" t="s">
        <v>1746</v>
      </c>
      <c r="L152" s="140" t="s">
        <v>1285</v>
      </c>
      <c r="M152" s="140">
        <v>901114262</v>
      </c>
      <c r="N152" s="141">
        <v>15041</v>
      </c>
      <c r="O152" s="76">
        <f>VLOOKUP(N152,Uzcard!C:P,4,0)</f>
        <v>0</v>
      </c>
      <c r="P152" s="76">
        <f>VLOOKUP(N152,Uzcard!C:P,6,0)</f>
        <v>0</v>
      </c>
      <c r="Q152" s="76">
        <f>VLOOKUP(N152,Uzcard!C:P,8,0)</f>
        <v>0</v>
      </c>
      <c r="R152" s="76">
        <f>VLOOKUP(N152,Uzcard!C:P,10,0)</f>
        <v>0</v>
      </c>
      <c r="S152" s="76">
        <f>VLOOKUP(N152,Uzcard!C:P,12,0)</f>
        <v>0</v>
      </c>
      <c r="T152" s="76">
        <f>VLOOKUP(N152,Uzcard!C:P,14,0)</f>
        <v>0</v>
      </c>
      <c r="U152" s="172">
        <f>IFERROR(VLOOKUP(N152,'2026 iyul uzcard'!A:D,3,0),"0")/1000</f>
        <v>0</v>
      </c>
      <c r="V152" s="172"/>
      <c r="W152" s="172"/>
      <c r="X152" s="172"/>
      <c r="Y152" s="172"/>
      <c r="Z152" s="172"/>
      <c r="AA152" s="162">
        <f t="shared" si="3"/>
        <v>0</v>
      </c>
      <c r="AB152" s="162"/>
      <c r="AC152" s="162"/>
      <c r="AD152" s="142" t="s">
        <v>1747</v>
      </c>
      <c r="AE152" s="77">
        <v>131315497</v>
      </c>
    </row>
    <row r="153" spans="1:31">
      <c r="A153" s="71" t="s">
        <v>178</v>
      </c>
      <c r="B153" s="72" t="s">
        <v>1762</v>
      </c>
      <c r="C153" s="68" t="s">
        <v>16</v>
      </c>
      <c r="D153" s="140" t="s">
        <v>933</v>
      </c>
      <c r="E153" s="140" t="s">
        <v>370</v>
      </c>
      <c r="F153" s="127" t="s">
        <v>371</v>
      </c>
      <c r="G153" s="140" t="s">
        <v>522</v>
      </c>
      <c r="H153" s="140"/>
      <c r="I153" s="140"/>
      <c r="J153" s="140" t="s">
        <v>955</v>
      </c>
      <c r="K153" s="140" t="s">
        <v>956</v>
      </c>
      <c r="L153" s="140" t="s">
        <v>957</v>
      </c>
      <c r="M153" s="140" t="s">
        <v>958</v>
      </c>
      <c r="N153" s="181" t="s">
        <v>959</v>
      </c>
      <c r="O153" s="76">
        <f>VLOOKUP(N153,Humo!C:P,4,0)</f>
        <v>383.6</v>
      </c>
      <c r="P153" s="77">
        <f>VLOOKUP(N153,Humo!C:P,6,0)</f>
        <v>296.39999999999998</v>
      </c>
      <c r="Q153" s="77">
        <f>VLOOKUP(N153,Humo!C:P,8,0)</f>
        <v>102.6</v>
      </c>
      <c r="R153" s="77">
        <f>VLOOKUP(N153,Humo!C:P,10,0)</f>
        <v>736.4</v>
      </c>
      <c r="S153" s="77">
        <f>VLOOKUP(N153,Humo!C:P,12,0)</f>
        <v>556.20000000000005</v>
      </c>
      <c r="T153" s="77">
        <f>VLOOKUP(N153,Humo!C:P,14,0)</f>
        <v>420</v>
      </c>
      <c r="U153" s="77">
        <f>IFERROR(VLOOKUP(N153,'2026 iyul humo'!A:D,4,0),"0")/1000</f>
        <v>1364.45</v>
      </c>
      <c r="V153" s="77"/>
      <c r="W153" s="77"/>
      <c r="X153" s="77"/>
      <c r="Y153" s="77"/>
      <c r="Z153" s="77"/>
      <c r="AA153" s="162">
        <f t="shared" si="3"/>
        <v>3859.6499999999996</v>
      </c>
      <c r="AB153" s="162"/>
      <c r="AC153" s="162"/>
      <c r="AD153" s="142" t="s">
        <v>1699</v>
      </c>
      <c r="AE153" s="77">
        <v>62805331</v>
      </c>
    </row>
    <row r="154" spans="1:31">
      <c r="A154" s="71" t="s">
        <v>179</v>
      </c>
      <c r="B154" s="72" t="s">
        <v>1762</v>
      </c>
      <c r="C154" s="68" t="s">
        <v>16</v>
      </c>
      <c r="D154" s="140" t="s">
        <v>1243</v>
      </c>
      <c r="E154" s="140" t="s">
        <v>364</v>
      </c>
      <c r="F154" s="127" t="s">
        <v>475</v>
      </c>
      <c r="G154" s="140" t="s">
        <v>522</v>
      </c>
      <c r="H154" s="90" t="s">
        <v>1780</v>
      </c>
      <c r="I154" s="67">
        <v>1128.7</v>
      </c>
      <c r="J154" s="164" t="s">
        <v>1333</v>
      </c>
      <c r="K154" s="140" t="s">
        <v>1326</v>
      </c>
      <c r="L154" s="140" t="s">
        <v>1673</v>
      </c>
      <c r="M154" s="164" t="s">
        <v>1674</v>
      </c>
      <c r="N154" s="141">
        <v>21381</v>
      </c>
      <c r="O154" s="76">
        <f>VLOOKUP(N154,Uzcard!C:P,4,0)</f>
        <v>0</v>
      </c>
      <c r="P154" s="76">
        <f>VLOOKUP(N154,Uzcard!C:P,6,0)</f>
        <v>638.45000000000005</v>
      </c>
      <c r="Q154" s="76">
        <f>VLOOKUP(N154,Uzcard!C:P,8,0)</f>
        <v>615.20000000000005</v>
      </c>
      <c r="R154" s="76">
        <f>VLOOKUP(N154,Uzcard!C:P,10,0)</f>
        <v>436.5</v>
      </c>
      <c r="S154" s="76">
        <f>VLOOKUP(N154,Uzcard!C:P,12,0)</f>
        <v>256.7</v>
      </c>
      <c r="T154" s="76">
        <f>VLOOKUP(N154,Uzcard!C:P,14,0)</f>
        <v>0</v>
      </c>
      <c r="U154" s="172">
        <f>IFERROR(VLOOKUP(N154,'2026 iyul uzcard'!A:D,3,0),"0")/1000</f>
        <v>0</v>
      </c>
      <c r="V154" s="172"/>
      <c r="W154" s="172"/>
      <c r="X154" s="172"/>
      <c r="Y154" s="172"/>
      <c r="Z154" s="172"/>
      <c r="AA154" s="162">
        <f t="shared" si="3"/>
        <v>1946.8500000000001</v>
      </c>
      <c r="AB154" s="162"/>
      <c r="AC154" s="162"/>
      <c r="AD154" s="142" t="s">
        <v>1718</v>
      </c>
      <c r="AE154" s="77">
        <v>131315497</v>
      </c>
    </row>
    <row r="155" spans="1:31">
      <c r="A155" s="71" t="s">
        <v>180</v>
      </c>
      <c r="B155" s="72" t="s">
        <v>1762</v>
      </c>
      <c r="C155" s="68" t="s">
        <v>16</v>
      </c>
      <c r="D155" s="140" t="s">
        <v>1243</v>
      </c>
      <c r="E155" s="140" t="s">
        <v>364</v>
      </c>
      <c r="F155" s="127" t="s">
        <v>475</v>
      </c>
      <c r="G155" s="140" t="s">
        <v>522</v>
      </c>
      <c r="H155" s="90" t="s">
        <v>1780</v>
      </c>
      <c r="I155" s="67">
        <v>1128.7</v>
      </c>
      <c r="J155" s="164" t="s">
        <v>1332</v>
      </c>
      <c r="K155" s="140" t="s">
        <v>1324</v>
      </c>
      <c r="L155" s="140" t="s">
        <v>1201</v>
      </c>
      <c r="M155" s="164" t="s">
        <v>2112</v>
      </c>
      <c r="N155" s="141">
        <v>34906</v>
      </c>
      <c r="O155" s="76">
        <f>VLOOKUP(N155,Uzcard!C:P,4,0)</f>
        <v>679.05</v>
      </c>
      <c r="P155" s="76">
        <f>VLOOKUP(N155,Uzcard!C:P,6,0)</f>
        <v>501.9</v>
      </c>
      <c r="Q155" s="76">
        <f>VLOOKUP(N155,Uzcard!C:P,8,0)</f>
        <v>722.15</v>
      </c>
      <c r="R155" s="76">
        <f>VLOOKUP(N155,Uzcard!C:P,10,0)</f>
        <v>474.05</v>
      </c>
      <c r="S155" s="76">
        <f>VLOOKUP(N155,Uzcard!C:P,12,0)</f>
        <v>260.85000000000002</v>
      </c>
      <c r="T155" s="76">
        <f>VLOOKUP(N155,Uzcard!C:P,14,0)</f>
        <v>0</v>
      </c>
      <c r="U155" s="172">
        <f>IFERROR(VLOOKUP(N155,'2026 iyul uzcard'!A:D,3,0),"0")/1000</f>
        <v>0</v>
      </c>
      <c r="V155" s="172"/>
      <c r="W155" s="172"/>
      <c r="X155" s="172"/>
      <c r="Y155" s="172"/>
      <c r="Z155" s="172"/>
      <c r="AA155" s="162">
        <f t="shared" si="3"/>
        <v>2638</v>
      </c>
      <c r="AB155" s="162"/>
      <c r="AC155" s="162"/>
      <c r="AD155" s="142" t="s">
        <v>1506</v>
      </c>
      <c r="AE155" s="77">
        <v>131315497</v>
      </c>
    </row>
    <row r="156" spans="1:31">
      <c r="A156" s="71" t="s">
        <v>181</v>
      </c>
      <c r="B156" s="72" t="s">
        <v>1762</v>
      </c>
      <c r="C156" s="68" t="s">
        <v>16</v>
      </c>
      <c r="D156" s="140" t="s">
        <v>1243</v>
      </c>
      <c r="E156" s="140" t="s">
        <v>370</v>
      </c>
      <c r="F156" s="127" t="s">
        <v>376</v>
      </c>
      <c r="G156" s="140" t="s">
        <v>522</v>
      </c>
      <c r="H156" s="98" t="s">
        <v>1773</v>
      </c>
      <c r="I156" s="67">
        <v>1848</v>
      </c>
      <c r="J156" s="127" t="s">
        <v>1163</v>
      </c>
      <c r="K156" s="140" t="s">
        <v>1727</v>
      </c>
      <c r="L156" s="140" t="s">
        <v>1166</v>
      </c>
      <c r="M156" s="140" t="s">
        <v>1167</v>
      </c>
      <c r="N156" s="181" t="s">
        <v>1169</v>
      </c>
      <c r="O156" s="76">
        <f>VLOOKUP(N156,Humo!C:P,4,0)</f>
        <v>7972.2</v>
      </c>
      <c r="P156" s="77">
        <f>VLOOKUP(N156,Humo!C:P,6,0)</f>
        <v>6303.3</v>
      </c>
      <c r="Q156" s="77">
        <f>VLOOKUP(N156,Humo!C:P,8,0)</f>
        <v>7005.9</v>
      </c>
      <c r="R156" s="77">
        <f>VLOOKUP(N156,Humo!C:P,10,0)</f>
        <v>5766.8</v>
      </c>
      <c r="S156" s="77">
        <f>VLOOKUP(N156,Humo!C:P,12,0)</f>
        <v>6403.8</v>
      </c>
      <c r="T156" s="77">
        <f>VLOOKUP(N156,Humo!C:P,14,0)</f>
        <v>4453.3999999999996</v>
      </c>
      <c r="U156" s="77">
        <f>IFERROR(VLOOKUP(N156,'2026 iyul humo'!A:D,4,0),"0")/1000</f>
        <v>6123.75</v>
      </c>
      <c r="V156" s="77"/>
      <c r="W156" s="77"/>
      <c r="X156" s="77"/>
      <c r="Y156" s="77"/>
      <c r="Z156" s="77"/>
      <c r="AA156" s="162">
        <f t="shared" si="3"/>
        <v>44029.15</v>
      </c>
      <c r="AB156" s="162"/>
      <c r="AC156" s="162"/>
      <c r="AD156" s="142" t="s">
        <v>1703</v>
      </c>
      <c r="AE156" s="77">
        <v>168243023</v>
      </c>
    </row>
    <row r="157" spans="1:31">
      <c r="A157" s="71" t="s">
        <v>182</v>
      </c>
      <c r="B157" s="72" t="s">
        <v>1762</v>
      </c>
      <c r="C157" s="68" t="s">
        <v>16</v>
      </c>
      <c r="D157" s="140" t="s">
        <v>1243</v>
      </c>
      <c r="E157" s="140" t="s">
        <v>364</v>
      </c>
      <c r="F157" s="127" t="s">
        <v>1162</v>
      </c>
      <c r="G157" s="140" t="s">
        <v>522</v>
      </c>
      <c r="H157" s="1" t="s">
        <v>1780</v>
      </c>
      <c r="I157" s="67">
        <v>1128.7</v>
      </c>
      <c r="J157" s="140" t="s">
        <v>1462</v>
      </c>
      <c r="K157" s="140" t="s">
        <v>1463</v>
      </c>
      <c r="L157" s="140" t="s">
        <v>1166</v>
      </c>
      <c r="M157" s="140">
        <v>90110037580</v>
      </c>
      <c r="N157" s="141">
        <v>39556</v>
      </c>
      <c r="O157" s="76">
        <f>VLOOKUP(N157,Uzcard!C:P,4,0)</f>
        <v>0</v>
      </c>
      <c r="P157" s="76">
        <f>VLOOKUP(N157,Uzcard!C:P,6,0)</f>
        <v>0</v>
      </c>
      <c r="Q157" s="76">
        <f>VLOOKUP(N157,Uzcard!C:P,8,0)</f>
        <v>0</v>
      </c>
      <c r="R157" s="76">
        <f>VLOOKUP(N157,Uzcard!C:P,10,0)</f>
        <v>0</v>
      </c>
      <c r="S157" s="76">
        <f>VLOOKUP(N157,Uzcard!C:P,12,0)</f>
        <v>0</v>
      </c>
      <c r="T157" s="76">
        <f>VLOOKUP(N157,Uzcard!C:P,14,0)</f>
        <v>3294.05</v>
      </c>
      <c r="U157" s="172">
        <f>IFERROR(VLOOKUP(N157,'2026 iyul uzcard'!A:D,3,0),"0")/1000</f>
        <v>7762.9</v>
      </c>
      <c r="V157" s="172"/>
      <c r="W157" s="172"/>
      <c r="X157" s="172"/>
      <c r="Y157" s="172"/>
      <c r="Z157" s="172"/>
      <c r="AA157" s="162">
        <f t="shared" si="3"/>
        <v>11056.95</v>
      </c>
      <c r="AB157" s="162"/>
      <c r="AC157" s="162"/>
      <c r="AD157" s="142" t="s">
        <v>1501</v>
      </c>
      <c r="AE157" s="77">
        <v>362504800</v>
      </c>
    </row>
    <row r="158" spans="1:31">
      <c r="A158" s="71" t="s">
        <v>183</v>
      </c>
      <c r="B158" s="72" t="s">
        <v>1762</v>
      </c>
      <c r="C158" s="68" t="s">
        <v>16</v>
      </c>
      <c r="D158" s="140" t="s">
        <v>1170</v>
      </c>
      <c r="E158" s="140" t="s">
        <v>364</v>
      </c>
      <c r="F158" s="127" t="s">
        <v>475</v>
      </c>
      <c r="G158" s="140" t="s">
        <v>522</v>
      </c>
      <c r="H158" s="90" t="s">
        <v>1780</v>
      </c>
      <c r="I158" s="67">
        <v>1128.7</v>
      </c>
      <c r="J158" s="140" t="s">
        <v>1185</v>
      </c>
      <c r="K158" s="140" t="s">
        <v>1753</v>
      </c>
      <c r="L158" s="140" t="s">
        <v>1657</v>
      </c>
      <c r="M158" s="140" t="s">
        <v>1188</v>
      </c>
      <c r="N158" s="141">
        <v>23275</v>
      </c>
      <c r="O158" s="76">
        <f>VLOOKUP(N158,Uzcard!C:P,4,0)</f>
        <v>181.5</v>
      </c>
      <c r="P158" s="76">
        <f>VLOOKUP(N158,Uzcard!C:P,6,0)</f>
        <v>210.8</v>
      </c>
      <c r="Q158" s="76">
        <f>VLOOKUP(N158,Uzcard!C:P,8,0)</f>
        <v>252.5</v>
      </c>
      <c r="R158" s="76">
        <f>VLOOKUP(N158,Uzcard!C:P,10,0)</f>
        <v>232.3</v>
      </c>
      <c r="S158" s="76">
        <f>VLOOKUP(N158,Uzcard!C:P,12,0)</f>
        <v>273.05</v>
      </c>
      <c r="T158" s="76">
        <f>VLOOKUP(N158,Uzcard!C:P,14,0)</f>
        <v>174.1</v>
      </c>
      <c r="U158" s="172">
        <f>IFERROR(VLOOKUP(N158,'2026 iyul uzcard'!A:D,3,0),"0")/1000</f>
        <v>108.3</v>
      </c>
      <c r="V158" s="172"/>
      <c r="W158" s="172"/>
      <c r="X158" s="172"/>
      <c r="Y158" s="172"/>
      <c r="Z158" s="172"/>
      <c r="AA158" s="162">
        <f t="shared" si="3"/>
        <v>1432.5499999999997</v>
      </c>
      <c r="AB158" s="162"/>
      <c r="AC158" s="162"/>
      <c r="AD158" s="142" t="s">
        <v>1701</v>
      </c>
      <c r="AE158" s="77">
        <v>168243023</v>
      </c>
    </row>
    <row r="159" spans="1:31">
      <c r="A159" s="71" t="s">
        <v>184</v>
      </c>
      <c r="B159" s="72" t="s">
        <v>1762</v>
      </c>
      <c r="C159" s="68" t="s">
        <v>16</v>
      </c>
      <c r="D159" s="140" t="s">
        <v>1170</v>
      </c>
      <c r="E159" s="140" t="s">
        <v>381</v>
      </c>
      <c r="F159" s="127" t="s">
        <v>382</v>
      </c>
      <c r="G159" s="140" t="s">
        <v>491</v>
      </c>
      <c r="H159" s="140"/>
      <c r="I159" s="140"/>
      <c r="J159" s="140">
        <v>1619353</v>
      </c>
      <c r="K159" s="140" t="s">
        <v>1187</v>
      </c>
      <c r="L159" s="140" t="s">
        <v>1657</v>
      </c>
      <c r="M159" s="140" t="s">
        <v>1189</v>
      </c>
      <c r="N159" s="141" t="s">
        <v>1189</v>
      </c>
      <c r="O159" s="76">
        <f>IFERROR(VLOOKUP(N159,'2026 yanvar vash'!A:D,4,0),"0")/1000</f>
        <v>0</v>
      </c>
      <c r="P159" s="173">
        <f>IFERROR(VLOOKUP(N159,'2026 fevral vash'!A:D,4,0),"0")/1000</f>
        <v>0</v>
      </c>
      <c r="Q159" s="173">
        <f>IFERROR(VLOOKUP(N159,'2026 mart vash'!A:D,4,0),"0")/1000</f>
        <v>0</v>
      </c>
      <c r="R159" s="173">
        <f>IFERROR(VLOOKUP(N159,'2026 aprel vash'!A:D,4,0),"0")/1000</f>
        <v>0</v>
      </c>
      <c r="S159" s="173">
        <f>IFERROR(VLOOKUP(N159,'2026 may vash'!A:D,4,0),"0")/1000</f>
        <v>0</v>
      </c>
      <c r="T159" s="173">
        <f>IFERROR(VLOOKUP(N159,'2026 iyun vash'!A:D,4,0),"0")/1000</f>
        <v>0</v>
      </c>
      <c r="U159" s="173">
        <f>IFERROR(VLOOKUP(N159,'2026 iyul vash'!A:D,4,0),"0")/1000</f>
        <v>0</v>
      </c>
      <c r="V159" s="173"/>
      <c r="W159" s="173"/>
      <c r="X159" s="173"/>
      <c r="Y159" s="173"/>
      <c r="Z159" s="173"/>
      <c r="AA159" s="162">
        <f t="shared" si="3"/>
        <v>0</v>
      </c>
      <c r="AB159" s="162"/>
      <c r="AC159" s="162"/>
      <c r="AD159" s="142" t="s">
        <v>1642</v>
      </c>
      <c r="AE159" s="77">
        <v>216557286.44999999</v>
      </c>
    </row>
    <row r="160" spans="1:31">
      <c r="A160" s="71" t="s">
        <v>185</v>
      </c>
      <c r="B160" s="72" t="s">
        <v>1762</v>
      </c>
      <c r="C160" s="68" t="s">
        <v>16</v>
      </c>
      <c r="D160" s="140" t="s">
        <v>1474</v>
      </c>
      <c r="E160" s="140" t="s">
        <v>370</v>
      </c>
      <c r="F160" s="127" t="s">
        <v>475</v>
      </c>
      <c r="G160" s="140" t="s">
        <v>522</v>
      </c>
      <c r="H160" s="98" t="s">
        <v>1773</v>
      </c>
      <c r="I160" s="67">
        <v>1848</v>
      </c>
      <c r="J160" s="140" t="s">
        <v>1194</v>
      </c>
      <c r="K160" s="140" t="s">
        <v>1192</v>
      </c>
      <c r="L160" s="140" t="s">
        <v>1190</v>
      </c>
      <c r="M160" s="140" t="s">
        <v>1193</v>
      </c>
      <c r="N160" s="141" t="s">
        <v>1191</v>
      </c>
      <c r="O160" s="76">
        <f>VLOOKUP(N160,Humo!C:P,4,0)</f>
        <v>5656.4970297029695</v>
      </c>
      <c r="P160" s="77">
        <f>VLOOKUP(N160,Humo!C:P,6,0)</f>
        <v>7047.154455445545</v>
      </c>
      <c r="Q160" s="77">
        <f>VLOOKUP(N160,Humo!C:P,8,0)</f>
        <v>10756.868316831684</v>
      </c>
      <c r="R160" s="77">
        <f>VLOOKUP(N160,Humo!C:P,10,0)</f>
        <v>7480.1207920792076</v>
      </c>
      <c r="S160" s="77">
        <f>VLOOKUP(N160,Humo!C:P,12,0)</f>
        <v>12759.452475247524</v>
      </c>
      <c r="T160" s="77">
        <f>VLOOKUP(N160,Humo!C:P,14,0)</f>
        <v>6443.5702970297025</v>
      </c>
      <c r="U160" s="77">
        <f>IFERROR(VLOOKUP(N160,'2026 iyul humo'!A:D,4,0),"0")/1000</f>
        <v>477.8</v>
      </c>
      <c r="V160" s="77"/>
      <c r="W160" s="77"/>
      <c r="X160" s="77"/>
      <c r="Y160" s="77"/>
      <c r="Z160" s="77"/>
      <c r="AA160" s="162">
        <f t="shared" si="3"/>
        <v>50621.46336633664</v>
      </c>
      <c r="AB160" s="162"/>
      <c r="AC160" s="162"/>
      <c r="AD160" s="142" t="s">
        <v>1562</v>
      </c>
      <c r="AE160" s="77">
        <v>100458192.72</v>
      </c>
    </row>
    <row r="161" spans="1:31">
      <c r="A161" s="71" t="s">
        <v>186</v>
      </c>
      <c r="B161" s="72" t="s">
        <v>1762</v>
      </c>
      <c r="C161" s="68" t="s">
        <v>16</v>
      </c>
      <c r="D161" s="140" t="s">
        <v>1474</v>
      </c>
      <c r="E161" s="140" t="s">
        <v>381</v>
      </c>
      <c r="F161" s="127" t="s">
        <v>382</v>
      </c>
      <c r="G161" s="140" t="s">
        <v>491</v>
      </c>
      <c r="H161" s="140"/>
      <c r="I161" s="140"/>
      <c r="J161" s="140">
        <v>1719353</v>
      </c>
      <c r="K161" s="140" t="s">
        <v>1196</v>
      </c>
      <c r="L161" s="140" t="s">
        <v>1190</v>
      </c>
      <c r="M161" s="140" t="s">
        <v>1195</v>
      </c>
      <c r="N161" s="141" t="s">
        <v>1195</v>
      </c>
      <c r="O161" s="76">
        <f>IFERROR(VLOOKUP(N161,'2026 yanvar vash'!A:D,4,0),"0")/1000</f>
        <v>0</v>
      </c>
      <c r="P161" s="173">
        <f>IFERROR(VLOOKUP(N161,'2026 fevral vash'!A:D,4,0),"0")/1000</f>
        <v>0</v>
      </c>
      <c r="Q161" s="173">
        <f>IFERROR(VLOOKUP(N161,'2026 mart vash'!A:D,4,0),"0")/1000</f>
        <v>0</v>
      </c>
      <c r="R161" s="173">
        <f>IFERROR(VLOOKUP(N161,'2026 aprel vash'!A:D,4,0),"0")/1000</f>
        <v>0</v>
      </c>
      <c r="S161" s="173">
        <f>IFERROR(VLOOKUP(N161,'2026 may vash'!A:D,4,0),"0")/1000</f>
        <v>3</v>
      </c>
      <c r="T161" s="173">
        <f>IFERROR(VLOOKUP(N161,'2026 iyun vash'!A:D,4,0),"0")/1000</f>
        <v>2.5</v>
      </c>
      <c r="U161" s="173">
        <f>IFERROR(VLOOKUP(N161,'2026 iyul vash'!A:D,4,0),"0")/1000</f>
        <v>0</v>
      </c>
      <c r="V161" s="173"/>
      <c r="W161" s="173"/>
      <c r="X161" s="173"/>
      <c r="Y161" s="173"/>
      <c r="Z161" s="173"/>
      <c r="AA161" s="162">
        <f t="shared" si="3"/>
        <v>5.5</v>
      </c>
      <c r="AB161" s="162"/>
      <c r="AC161" s="162"/>
      <c r="AD161" s="142" t="s">
        <v>1713</v>
      </c>
      <c r="AE161" s="77">
        <v>216557286.44999999</v>
      </c>
    </row>
    <row r="162" spans="1:31">
      <c r="A162" s="71" t="s">
        <v>187</v>
      </c>
      <c r="B162" s="72" t="s">
        <v>1762</v>
      </c>
      <c r="C162" s="68" t="s">
        <v>16</v>
      </c>
      <c r="D162" s="140" t="s">
        <v>1171</v>
      </c>
      <c r="E162" s="140" t="s">
        <v>364</v>
      </c>
      <c r="F162" s="127" t="s">
        <v>475</v>
      </c>
      <c r="G162" s="140" t="s">
        <v>522</v>
      </c>
      <c r="H162" s="90" t="s">
        <v>1780</v>
      </c>
      <c r="I162" s="67">
        <v>1128.7</v>
      </c>
      <c r="J162" s="140" t="s">
        <v>1198</v>
      </c>
      <c r="K162" s="140" t="s">
        <v>1751</v>
      </c>
      <c r="L162" s="140" t="s">
        <v>1197</v>
      </c>
      <c r="M162" s="140">
        <v>90110031725</v>
      </c>
      <c r="N162" s="141">
        <v>33725</v>
      </c>
      <c r="O162" s="76">
        <f>VLOOKUP(N162,Uzcard!C:P,4,0)</f>
        <v>2583.5500000000002</v>
      </c>
      <c r="P162" s="76">
        <f>VLOOKUP(N162,Uzcard!C:P,6,0)</f>
        <v>744.25</v>
      </c>
      <c r="Q162" s="76">
        <f>VLOOKUP(N162,Uzcard!C:P,8,0)</f>
        <v>807.55</v>
      </c>
      <c r="R162" s="76">
        <f>VLOOKUP(N162,Uzcard!C:P,10,0)</f>
        <v>679.05</v>
      </c>
      <c r="S162" s="76">
        <f>VLOOKUP(N162,Uzcard!C:P,12,0)</f>
        <v>369.75</v>
      </c>
      <c r="T162" s="76">
        <f>VLOOKUP(N162,Uzcard!C:P,14,0)</f>
        <v>342.15</v>
      </c>
      <c r="U162" s="172">
        <f>IFERROR(VLOOKUP(N162,'2026 iyul uzcard'!A:D,3,0),"0")/1000</f>
        <v>236.45</v>
      </c>
      <c r="V162" s="172"/>
      <c r="W162" s="172"/>
      <c r="X162" s="172"/>
      <c r="Y162" s="172"/>
      <c r="Z162" s="172"/>
      <c r="AA162" s="162">
        <f t="shared" si="3"/>
        <v>5762.75</v>
      </c>
      <c r="AB162" s="162"/>
      <c r="AC162" s="162"/>
      <c r="AD162" s="142" t="s">
        <v>1752</v>
      </c>
      <c r="AE162" s="77">
        <v>168243023</v>
      </c>
    </row>
    <row r="163" spans="1:31" s="89" customFormat="1">
      <c r="A163" s="71" t="s">
        <v>188</v>
      </c>
      <c r="B163" s="72" t="s">
        <v>1762</v>
      </c>
      <c r="C163" s="68" t="s">
        <v>16</v>
      </c>
      <c r="D163" s="140" t="s">
        <v>1172</v>
      </c>
      <c r="E163" s="140" t="s">
        <v>364</v>
      </c>
      <c r="F163" s="127" t="s">
        <v>1162</v>
      </c>
      <c r="G163" s="140" t="s">
        <v>522</v>
      </c>
      <c r="H163" s="1" t="s">
        <v>1780</v>
      </c>
      <c r="I163" s="67">
        <v>1128.7</v>
      </c>
      <c r="J163" s="140" t="s">
        <v>1200</v>
      </c>
      <c r="K163" s="140" t="s">
        <v>1464</v>
      </c>
      <c r="L163" s="140" t="s">
        <v>1199</v>
      </c>
      <c r="M163" s="140">
        <v>90110037578</v>
      </c>
      <c r="N163" s="141">
        <v>39554</v>
      </c>
      <c r="O163" s="76">
        <f>VLOOKUP(N163,Uzcard!C:P,4,0)</f>
        <v>0</v>
      </c>
      <c r="P163" s="76">
        <f>VLOOKUP(N163,Uzcard!C:P,6,0)</f>
        <v>0</v>
      </c>
      <c r="Q163" s="76">
        <f>VLOOKUP(N163,Uzcard!C:P,8,0)</f>
        <v>0</v>
      </c>
      <c r="R163" s="76">
        <f>VLOOKUP(N163,Uzcard!C:P,10,0)</f>
        <v>0</v>
      </c>
      <c r="S163" s="76">
        <f>VLOOKUP(N163,Uzcard!C:P,12,0)</f>
        <v>0</v>
      </c>
      <c r="T163" s="76">
        <f>VLOOKUP(N163,Uzcard!C:P,14,0)</f>
        <v>466.3</v>
      </c>
      <c r="U163" s="172">
        <f>IFERROR(VLOOKUP(N163,'2026 iyul uzcard'!A:D,3,0),"0")/1000</f>
        <v>248.4</v>
      </c>
      <c r="V163" s="172"/>
      <c r="W163" s="172"/>
      <c r="X163" s="172"/>
      <c r="Y163" s="172"/>
      <c r="Z163" s="172"/>
      <c r="AA163" s="162">
        <f t="shared" si="3"/>
        <v>714.7</v>
      </c>
      <c r="AB163" s="162"/>
      <c r="AC163" s="162"/>
      <c r="AD163" s="142" t="s">
        <v>1501</v>
      </c>
      <c r="AE163" s="77">
        <v>362504800</v>
      </c>
    </row>
    <row r="164" spans="1:31">
      <c r="A164" s="71" t="s">
        <v>189</v>
      </c>
      <c r="B164" s="72" t="s">
        <v>1762</v>
      </c>
      <c r="C164" s="68" t="s">
        <v>16</v>
      </c>
      <c r="D164" s="140" t="s">
        <v>1173</v>
      </c>
      <c r="E164" s="140" t="s">
        <v>364</v>
      </c>
      <c r="F164" s="127" t="s">
        <v>1162</v>
      </c>
      <c r="G164" s="140" t="s">
        <v>522</v>
      </c>
      <c r="H164" s="1" t="s">
        <v>1780</v>
      </c>
      <c r="I164" s="67">
        <v>1128.7</v>
      </c>
      <c r="J164" s="140" t="s">
        <v>1204</v>
      </c>
      <c r="K164" s="140" t="s">
        <v>1465</v>
      </c>
      <c r="L164" s="140" t="s">
        <v>1201</v>
      </c>
      <c r="M164" s="140">
        <v>90110037575</v>
      </c>
      <c r="N164" s="141">
        <v>39533</v>
      </c>
      <c r="O164" s="76">
        <f>VLOOKUP(N164,Uzcard!C:P,4,0)</f>
        <v>0</v>
      </c>
      <c r="P164" s="76">
        <f>VLOOKUP(N164,Uzcard!C:P,6,0)</f>
        <v>0</v>
      </c>
      <c r="Q164" s="76">
        <f>VLOOKUP(N164,Uzcard!C:P,8,0)</f>
        <v>0</v>
      </c>
      <c r="R164" s="76">
        <f>VLOOKUP(N164,Uzcard!C:P,10,0)</f>
        <v>0</v>
      </c>
      <c r="S164" s="76">
        <f>VLOOKUP(N164,Uzcard!C:P,12,0)</f>
        <v>0</v>
      </c>
      <c r="T164" s="76">
        <f>VLOOKUP(N164,Uzcard!C:P,14,0)</f>
        <v>521.4</v>
      </c>
      <c r="U164" s="172">
        <f>IFERROR(VLOOKUP(N164,'2026 iyul uzcard'!A:D,3,0),"0")/1000</f>
        <v>402.6</v>
      </c>
      <c r="V164" s="172"/>
      <c r="W164" s="172"/>
      <c r="X164" s="172"/>
      <c r="Y164" s="172"/>
      <c r="Z164" s="172"/>
      <c r="AA164" s="162">
        <f t="shared" si="3"/>
        <v>924</v>
      </c>
      <c r="AB164" s="162"/>
      <c r="AC164" s="162"/>
      <c r="AD164" s="142" t="s">
        <v>1501</v>
      </c>
      <c r="AE164" s="77">
        <v>362504800</v>
      </c>
    </row>
    <row r="165" spans="1:31">
      <c r="A165" s="71" t="s">
        <v>190</v>
      </c>
      <c r="B165" s="72" t="s">
        <v>1762</v>
      </c>
      <c r="C165" s="68" t="s">
        <v>16</v>
      </c>
      <c r="D165" s="140" t="s">
        <v>1173</v>
      </c>
      <c r="E165" s="140" t="s">
        <v>370</v>
      </c>
      <c r="F165" s="127" t="s">
        <v>371</v>
      </c>
      <c r="G165" s="140" t="s">
        <v>522</v>
      </c>
      <c r="H165" s="98" t="s">
        <v>1773</v>
      </c>
      <c r="I165" s="67">
        <v>1848</v>
      </c>
      <c r="J165" s="140">
        <v>5310177410</v>
      </c>
      <c r="K165" s="140" t="s">
        <v>1202</v>
      </c>
      <c r="L165" s="140" t="s">
        <v>1201</v>
      </c>
      <c r="M165" s="140" t="s">
        <v>1203</v>
      </c>
      <c r="N165" s="141">
        <v>15700001</v>
      </c>
      <c r="O165" s="76">
        <f>VLOOKUP(N165,Humo!C:P,4,0)</f>
        <v>0</v>
      </c>
      <c r="P165" s="77">
        <f>VLOOKUP(N165,Humo!C:P,6,0)</f>
        <v>2889.6465346534651</v>
      </c>
      <c r="Q165" s="77">
        <f>VLOOKUP(N165,Humo!C:P,8,0)</f>
        <v>6036.2267326732672</v>
      </c>
      <c r="R165" s="77">
        <f>VLOOKUP(N165,Humo!C:P,10,0)</f>
        <v>4382.5534653465347</v>
      </c>
      <c r="S165" s="77">
        <f>VLOOKUP(N165,Humo!C:P,12,0)</f>
        <v>7587.2514851485148</v>
      </c>
      <c r="T165" s="77">
        <f>VLOOKUP(N165,Humo!C:P,14,0)</f>
        <v>1371.1693069306932</v>
      </c>
      <c r="U165" s="77">
        <f>IFERROR(VLOOKUP(N165,'2026 iyul humo'!A:D,4,0),"0")/1000</f>
        <v>438.05</v>
      </c>
      <c r="V165" s="77"/>
      <c r="W165" s="77"/>
      <c r="X165" s="77"/>
      <c r="Y165" s="77"/>
      <c r="Z165" s="77"/>
      <c r="AA165" s="162">
        <f t="shared" si="3"/>
        <v>22704.897524752476</v>
      </c>
      <c r="AB165" s="162"/>
      <c r="AC165" s="162"/>
      <c r="AD165" s="142" t="s">
        <v>1560</v>
      </c>
      <c r="AE165" s="77">
        <v>62805331</v>
      </c>
    </row>
    <row r="166" spans="1:31">
      <c r="A166" s="71" t="s">
        <v>191</v>
      </c>
      <c r="B166" s="72" t="s">
        <v>1762</v>
      </c>
      <c r="C166" s="68" t="s">
        <v>16</v>
      </c>
      <c r="D166" s="140" t="s">
        <v>1174</v>
      </c>
      <c r="E166" s="140" t="s">
        <v>364</v>
      </c>
      <c r="F166" s="127" t="s">
        <v>475</v>
      </c>
      <c r="G166" s="140" t="s">
        <v>522</v>
      </c>
      <c r="H166" s="90" t="s">
        <v>1780</v>
      </c>
      <c r="I166" s="67">
        <v>1128.7</v>
      </c>
      <c r="J166" s="90" t="s">
        <v>1706</v>
      </c>
      <c r="K166" s="140" t="s">
        <v>1205</v>
      </c>
      <c r="L166" s="140" t="s">
        <v>1206</v>
      </c>
      <c r="M166" s="140" t="s">
        <v>1207</v>
      </c>
      <c r="N166" s="141">
        <v>27540</v>
      </c>
      <c r="O166" s="76">
        <f>VLOOKUP(N166,Uzcard!C:P,4,0)</f>
        <v>392.7</v>
      </c>
      <c r="P166" s="76">
        <f>VLOOKUP(N166,Uzcard!C:P,6,0)</f>
        <v>225.7</v>
      </c>
      <c r="Q166" s="76">
        <f>VLOOKUP(N166,Uzcard!C:P,8,0)</f>
        <v>739.15</v>
      </c>
      <c r="R166" s="76">
        <f>VLOOKUP(N166,Uzcard!C:P,10,0)</f>
        <v>278.25</v>
      </c>
      <c r="S166" s="76">
        <f>VLOOKUP(N166,Uzcard!C:P,12,0)</f>
        <v>358.55</v>
      </c>
      <c r="T166" s="76">
        <f>VLOOKUP(N166,Uzcard!C:P,14,0)</f>
        <v>145.75</v>
      </c>
      <c r="U166" s="172">
        <f>IFERROR(VLOOKUP(N166,'2026 iyul uzcard'!A:D,3,0),"0")/1000</f>
        <v>87</v>
      </c>
      <c r="V166" s="172"/>
      <c r="W166" s="172"/>
      <c r="X166" s="172"/>
      <c r="Y166" s="172"/>
      <c r="Z166" s="172"/>
      <c r="AA166" s="162">
        <f t="shared" si="3"/>
        <v>2227.1</v>
      </c>
      <c r="AB166" s="162"/>
      <c r="AC166" s="162"/>
      <c r="AD166" s="142" t="s">
        <v>1716</v>
      </c>
      <c r="AE166" s="77">
        <v>144808312</v>
      </c>
    </row>
    <row r="167" spans="1:31">
      <c r="A167" s="71" t="s">
        <v>192</v>
      </c>
      <c r="B167" s="72" t="s">
        <v>1762</v>
      </c>
      <c r="C167" s="68" t="s">
        <v>16</v>
      </c>
      <c r="D167" s="140" t="s">
        <v>1175</v>
      </c>
      <c r="E167" s="140" t="s">
        <v>364</v>
      </c>
      <c r="F167" s="127" t="s">
        <v>475</v>
      </c>
      <c r="G167" s="140" t="s">
        <v>522</v>
      </c>
      <c r="H167" s="90" t="s">
        <v>1780</v>
      </c>
      <c r="I167" s="67">
        <v>1128.7</v>
      </c>
      <c r="J167" s="140" t="s">
        <v>1215</v>
      </c>
      <c r="K167" s="140" t="s">
        <v>1210</v>
      </c>
      <c r="L167" s="140" t="s">
        <v>1208</v>
      </c>
      <c r="M167" s="140">
        <v>90110033414</v>
      </c>
      <c r="N167" s="141">
        <v>35481</v>
      </c>
      <c r="O167" s="76">
        <f>VLOOKUP(N167,Uzcard!C:P,4,0)</f>
        <v>3495.05</v>
      </c>
      <c r="P167" s="76">
        <f>VLOOKUP(N167,Uzcard!C:P,6,0)</f>
        <v>3866.2</v>
      </c>
      <c r="Q167" s="76">
        <f>VLOOKUP(N167,Uzcard!C:P,8,0)</f>
        <v>565.6</v>
      </c>
      <c r="R167" s="76">
        <f>VLOOKUP(N167,Uzcard!C:P,10,0)</f>
        <v>1310.25</v>
      </c>
      <c r="S167" s="76">
        <f>VLOOKUP(N167,Uzcard!C:P,12,0)</f>
        <v>1848.65</v>
      </c>
      <c r="T167" s="76">
        <f>VLOOKUP(N167,Uzcard!C:P,14,0)</f>
        <v>2956.15</v>
      </c>
      <c r="U167" s="172">
        <f>IFERROR(VLOOKUP(N167,'2026 iyul uzcard'!A:D,3,0),"0")/1000</f>
        <v>2397.5</v>
      </c>
      <c r="V167" s="172"/>
      <c r="W167" s="172"/>
      <c r="X167" s="172"/>
      <c r="Y167" s="172"/>
      <c r="Z167" s="172"/>
      <c r="AA167" s="162">
        <f t="shared" si="3"/>
        <v>16439.400000000001</v>
      </c>
      <c r="AB167" s="162"/>
      <c r="AC167" s="162"/>
      <c r="AD167" s="142" t="s">
        <v>1718</v>
      </c>
      <c r="AE167" s="77">
        <v>131315497</v>
      </c>
    </row>
    <row r="168" spans="1:31">
      <c r="A168" s="71" t="s">
        <v>193</v>
      </c>
      <c r="B168" s="72" t="s">
        <v>1762</v>
      </c>
      <c r="C168" s="68" t="s">
        <v>16</v>
      </c>
      <c r="D168" s="140" t="s">
        <v>1175</v>
      </c>
      <c r="E168" s="140" t="s">
        <v>370</v>
      </c>
      <c r="F168" s="127" t="s">
        <v>371</v>
      </c>
      <c r="G168" s="140" t="s">
        <v>522</v>
      </c>
      <c r="H168" s="98" t="s">
        <v>1773</v>
      </c>
      <c r="I168" s="67">
        <v>1848</v>
      </c>
      <c r="J168" s="140">
        <v>5310177616</v>
      </c>
      <c r="K168" s="143" t="s">
        <v>1723</v>
      </c>
      <c r="L168" s="140" t="s">
        <v>1208</v>
      </c>
      <c r="M168" s="140" t="s">
        <v>1213</v>
      </c>
      <c r="N168" s="141" t="s">
        <v>1209</v>
      </c>
      <c r="O168" s="76">
        <f>VLOOKUP(N168,Humo!C:P,4,0)</f>
        <v>1875.9</v>
      </c>
      <c r="P168" s="77">
        <f>VLOOKUP(N168,Humo!C:P,6,0)</f>
        <v>973.4</v>
      </c>
      <c r="Q168" s="77">
        <f>VLOOKUP(N168,Humo!C:P,8,0)</f>
        <v>1591.6</v>
      </c>
      <c r="R168" s="77">
        <f>VLOOKUP(N168,Humo!C:P,10,0)</f>
        <v>2386.1999999999998</v>
      </c>
      <c r="S168" s="77">
        <f>VLOOKUP(N168,Humo!C:P,12,0)</f>
        <v>1708.7</v>
      </c>
      <c r="T168" s="77">
        <f>VLOOKUP(N168,Humo!C:P,14,0)</f>
        <v>1095.3</v>
      </c>
      <c r="U168" s="77">
        <f>IFERROR(VLOOKUP(N168,'2026 iyul humo'!A:D,4,0),"0")/1000</f>
        <v>2153.3000000000002</v>
      </c>
      <c r="V168" s="77"/>
      <c r="W168" s="77"/>
      <c r="X168" s="77"/>
      <c r="Y168" s="77"/>
      <c r="Z168" s="77"/>
      <c r="AA168" s="162">
        <f t="shared" si="3"/>
        <v>11784.399999999998</v>
      </c>
      <c r="AB168" s="162"/>
      <c r="AC168" s="162"/>
      <c r="AD168" s="142" t="s">
        <v>1699</v>
      </c>
      <c r="AE168" s="77">
        <v>62805331</v>
      </c>
    </row>
    <row r="169" spans="1:31">
      <c r="A169" s="71" t="s">
        <v>194</v>
      </c>
      <c r="B169" s="72" t="s">
        <v>1762</v>
      </c>
      <c r="C169" s="68" t="s">
        <v>16</v>
      </c>
      <c r="D169" s="140" t="s">
        <v>1175</v>
      </c>
      <c r="E169" s="140" t="s">
        <v>381</v>
      </c>
      <c r="F169" s="127" t="s">
        <v>382</v>
      </c>
      <c r="G169" s="140" t="s">
        <v>491</v>
      </c>
      <c r="H169" s="140"/>
      <c r="I169" s="140"/>
      <c r="J169" s="140">
        <v>1419339</v>
      </c>
      <c r="K169" s="140" t="s">
        <v>1212</v>
      </c>
      <c r="L169" s="140" t="s">
        <v>1208</v>
      </c>
      <c r="M169" s="140" t="s">
        <v>1214</v>
      </c>
      <c r="N169" s="141" t="s">
        <v>1214</v>
      </c>
      <c r="O169" s="76">
        <f>IFERROR(VLOOKUP(N169,'2026 yanvar vash'!A:D,4,0),"0")/1000</f>
        <v>9</v>
      </c>
      <c r="P169" s="173">
        <f>IFERROR(VLOOKUP(N169,'2026 fevral vash'!A:D,4,0),"0")/1000</f>
        <v>40.61</v>
      </c>
      <c r="Q169" s="173">
        <f>IFERROR(VLOOKUP(N169,'2026 mart vash'!A:D,4,0),"0")/1000</f>
        <v>125.1</v>
      </c>
      <c r="R169" s="173">
        <f>IFERROR(VLOOKUP(N169,'2026 aprel vash'!A:D,4,0),"0")/1000</f>
        <v>1.1499999999999999</v>
      </c>
      <c r="S169" s="173">
        <f>IFERROR(VLOOKUP(N169,'2026 may vash'!A:D,4,0),"0")/1000</f>
        <v>2</v>
      </c>
      <c r="T169" s="173">
        <f>IFERROR(VLOOKUP(N169,'2026 iyun vash'!A:D,4,0),"0")/1000</f>
        <v>27.5</v>
      </c>
      <c r="U169" s="173">
        <f>IFERROR(VLOOKUP(N169,'2026 iyul vash'!A:D,4,0),"0")/1000</f>
        <v>0</v>
      </c>
      <c r="V169" s="173"/>
      <c r="W169" s="173"/>
      <c r="X169" s="173"/>
      <c r="Y169" s="173"/>
      <c r="Z169" s="173"/>
      <c r="AA169" s="162">
        <f t="shared" si="3"/>
        <v>205.35999999999999</v>
      </c>
      <c r="AB169" s="162"/>
      <c r="AC169" s="162"/>
      <c r="AD169" s="142" t="s">
        <v>1709</v>
      </c>
      <c r="AE169" s="77">
        <v>216557286.44999999</v>
      </c>
    </row>
    <row r="170" spans="1:31">
      <c r="A170" s="71" t="s">
        <v>195</v>
      </c>
      <c r="B170" s="72" t="s">
        <v>1762</v>
      </c>
      <c r="C170" s="68" t="s">
        <v>16</v>
      </c>
      <c r="D170" s="140" t="s">
        <v>1176</v>
      </c>
      <c r="E170" s="140" t="s">
        <v>364</v>
      </c>
      <c r="F170" s="127" t="s">
        <v>474</v>
      </c>
      <c r="G170" s="140" t="s">
        <v>522</v>
      </c>
      <c r="H170" s="140"/>
      <c r="I170" s="140"/>
      <c r="J170" s="180" t="s">
        <v>2172</v>
      </c>
      <c r="K170" s="140" t="s">
        <v>1749</v>
      </c>
      <c r="L170" s="140" t="s">
        <v>1216</v>
      </c>
      <c r="M170" s="140">
        <v>901115097</v>
      </c>
      <c r="N170" s="141">
        <v>15867</v>
      </c>
      <c r="O170" s="76">
        <f>VLOOKUP(N170,Uzcard!C:P,4,0)</f>
        <v>1058.95</v>
      </c>
      <c r="P170" s="76">
        <f>VLOOKUP(N170,Uzcard!C:P,6,0)</f>
        <v>92.15</v>
      </c>
      <c r="Q170" s="76">
        <f>VLOOKUP(N170,Uzcard!C:P,8,0)</f>
        <v>414.2</v>
      </c>
      <c r="R170" s="76">
        <f>VLOOKUP(N170,Uzcard!C:P,10,0)</f>
        <v>131.19999999999999</v>
      </c>
      <c r="S170" s="76">
        <f>VLOOKUP(N170,Uzcard!C:P,12,0)</f>
        <v>109.4</v>
      </c>
      <c r="T170" s="76">
        <f>VLOOKUP(N170,Uzcard!C:P,14,0)</f>
        <v>446.45</v>
      </c>
      <c r="U170" s="172">
        <f>IFERROR(VLOOKUP(N170,'2026 iyul uzcard'!A:D,3,0),"0")/1000</f>
        <v>511.55</v>
      </c>
      <c r="V170" s="172"/>
      <c r="W170" s="172"/>
      <c r="X170" s="172"/>
      <c r="Y170" s="172"/>
      <c r="Z170" s="172"/>
      <c r="AA170" s="162">
        <f t="shared" si="3"/>
        <v>2763.9000000000005</v>
      </c>
      <c r="AB170" s="162"/>
      <c r="AC170" s="162"/>
      <c r="AD170" s="142" t="s">
        <v>1750</v>
      </c>
      <c r="AE170" s="77">
        <v>106507213.69</v>
      </c>
    </row>
    <row r="171" spans="1:31">
      <c r="A171" s="71" t="s">
        <v>196</v>
      </c>
      <c r="B171" s="72" t="s">
        <v>1762</v>
      </c>
      <c r="C171" s="68" t="s">
        <v>16</v>
      </c>
      <c r="D171" s="140" t="s">
        <v>1176</v>
      </c>
      <c r="E171" s="140" t="s">
        <v>370</v>
      </c>
      <c r="F171" s="127" t="s">
        <v>371</v>
      </c>
      <c r="G171" s="140" t="s">
        <v>522</v>
      </c>
      <c r="H171" s="98" t="s">
        <v>1773</v>
      </c>
      <c r="I171" s="67">
        <v>1848</v>
      </c>
      <c r="J171" s="140" t="s">
        <v>1659</v>
      </c>
      <c r="K171" s="140" t="s">
        <v>1218</v>
      </c>
      <c r="L171" s="140" t="s">
        <v>1216</v>
      </c>
      <c r="M171" s="140" t="s">
        <v>1219</v>
      </c>
      <c r="N171" s="141" t="s">
        <v>1220</v>
      </c>
      <c r="O171" s="76">
        <f>VLOOKUP(N171,Humo!C:P,4,0)</f>
        <v>0</v>
      </c>
      <c r="P171" s="77">
        <f>VLOOKUP(N171,Humo!C:P,6,0)</f>
        <v>0</v>
      </c>
      <c r="Q171" s="77">
        <f>VLOOKUP(N171,Humo!C:P,8,0)</f>
        <v>113.7</v>
      </c>
      <c r="R171" s="77">
        <f>VLOOKUP(N171,Humo!C:P,10,0)</f>
        <v>1238.4034653465346</v>
      </c>
      <c r="S171" s="77">
        <f>VLOOKUP(N171,Humo!C:P,12,0)</f>
        <v>1821.8361386138613</v>
      </c>
      <c r="T171" s="77">
        <f>VLOOKUP(N171,Humo!C:P,14,0)</f>
        <v>577.32772277227718</v>
      </c>
      <c r="U171" s="77">
        <f>IFERROR(VLOOKUP(N171,'2026 iyul humo'!A:D,4,0),"0")/1000</f>
        <v>347.85</v>
      </c>
      <c r="V171" s="77"/>
      <c r="W171" s="77"/>
      <c r="X171" s="77"/>
      <c r="Y171" s="77"/>
      <c r="Z171" s="77"/>
      <c r="AA171" s="162">
        <f t="shared" si="3"/>
        <v>4099.117326732674</v>
      </c>
      <c r="AB171" s="162"/>
      <c r="AC171" s="162"/>
      <c r="AD171" s="142">
        <v>44246</v>
      </c>
      <c r="AE171" s="77">
        <v>63098415.920000002</v>
      </c>
    </row>
    <row r="172" spans="1:31">
      <c r="A172" s="71" t="s">
        <v>197</v>
      </c>
      <c r="B172" s="72" t="s">
        <v>1762</v>
      </c>
      <c r="C172" s="68" t="s">
        <v>16</v>
      </c>
      <c r="D172" s="140" t="s">
        <v>1177</v>
      </c>
      <c r="E172" s="140" t="s">
        <v>364</v>
      </c>
      <c r="F172" s="127" t="s">
        <v>475</v>
      </c>
      <c r="G172" s="140" t="s">
        <v>522</v>
      </c>
      <c r="H172" s="90" t="s">
        <v>1780</v>
      </c>
      <c r="I172" s="67">
        <v>1128.7</v>
      </c>
      <c r="J172" s="140" t="s">
        <v>1222</v>
      </c>
      <c r="K172" s="140" t="s">
        <v>1748</v>
      </c>
      <c r="L172" s="140" t="s">
        <v>1660</v>
      </c>
      <c r="M172" s="140" t="s">
        <v>1221</v>
      </c>
      <c r="N172" s="141">
        <v>25689</v>
      </c>
      <c r="O172" s="76">
        <f>VLOOKUP(N172,Uzcard!C:P,4,0)</f>
        <v>6028.35</v>
      </c>
      <c r="P172" s="76">
        <f>VLOOKUP(N172,Uzcard!C:P,6,0)</f>
        <v>10483.25</v>
      </c>
      <c r="Q172" s="76">
        <f>VLOOKUP(N172,Uzcard!C:P,8,0)</f>
        <v>8966.1</v>
      </c>
      <c r="R172" s="76">
        <f>VLOOKUP(N172,Uzcard!C:P,10,0)</f>
        <v>7728.75</v>
      </c>
      <c r="S172" s="76">
        <f>VLOOKUP(N172,Uzcard!C:P,12,0)</f>
        <v>5205.8500000000004</v>
      </c>
      <c r="T172" s="76">
        <f>VLOOKUP(N172,Uzcard!C:P,14,0)</f>
        <v>147.80000000000001</v>
      </c>
      <c r="U172" s="172">
        <f>IFERROR(VLOOKUP(N172,'2026 iyul uzcard'!A:D,3,0),"0")/1000</f>
        <v>230.2</v>
      </c>
      <c r="V172" s="172"/>
      <c r="W172" s="172"/>
      <c r="X172" s="172"/>
      <c r="Y172" s="172"/>
      <c r="Z172" s="172"/>
      <c r="AA172" s="162">
        <f t="shared" si="3"/>
        <v>38790.299999999996</v>
      </c>
      <c r="AB172" s="162"/>
      <c r="AC172" s="162"/>
      <c r="AD172" s="142" t="s">
        <v>1606</v>
      </c>
      <c r="AE172" s="77">
        <v>105827950</v>
      </c>
    </row>
    <row r="173" spans="1:31">
      <c r="A173" s="71" t="s">
        <v>198</v>
      </c>
      <c r="B173" s="72" t="s">
        <v>1762</v>
      </c>
      <c r="C173" s="68" t="s">
        <v>16</v>
      </c>
      <c r="D173" s="140" t="s">
        <v>1177</v>
      </c>
      <c r="E173" s="105" t="s">
        <v>364</v>
      </c>
      <c r="F173" s="127" t="s">
        <v>376</v>
      </c>
      <c r="G173" s="140" t="s">
        <v>522</v>
      </c>
      <c r="H173" s="140"/>
      <c r="I173" s="140"/>
      <c r="J173" s="99" t="s">
        <v>1774</v>
      </c>
      <c r="K173" s="127" t="s">
        <v>1692</v>
      </c>
      <c r="L173" s="140" t="s">
        <v>1660</v>
      </c>
      <c r="M173" s="140">
        <v>90110037563</v>
      </c>
      <c r="N173" s="141">
        <v>39601</v>
      </c>
      <c r="O173" s="76">
        <f>VLOOKUP(N173,Uzcard!C:P,4,0)</f>
        <v>0</v>
      </c>
      <c r="P173" s="76">
        <f>VLOOKUP(N173,Uzcard!C:P,6,0)</f>
        <v>0</v>
      </c>
      <c r="Q173" s="76">
        <f>VLOOKUP(N173,Uzcard!C:P,8,0)</f>
        <v>0</v>
      </c>
      <c r="R173" s="76">
        <f>VLOOKUP(N173,Uzcard!C:P,10,0)</f>
        <v>0</v>
      </c>
      <c r="S173" s="76">
        <f>VLOOKUP(N173,Uzcard!C:P,12,0)</f>
        <v>0</v>
      </c>
      <c r="T173" s="76">
        <f>VLOOKUP(N173,Uzcard!C:P,14,0)</f>
        <v>5</v>
      </c>
      <c r="U173" s="172">
        <f>IFERROR(VLOOKUP(N173,'2026 iyul uzcard'!A:D,3,0),"0")/1000</f>
        <v>565</v>
      </c>
      <c r="V173" s="172"/>
      <c r="W173" s="172"/>
      <c r="X173" s="172"/>
      <c r="Y173" s="172"/>
      <c r="Z173" s="172"/>
      <c r="AA173" s="162">
        <f t="shared" si="3"/>
        <v>570</v>
      </c>
      <c r="AB173" s="162"/>
      <c r="AC173" s="162"/>
      <c r="AD173" s="142" t="s">
        <v>1693</v>
      </c>
      <c r="AE173" s="77">
        <v>168243052.46000001</v>
      </c>
    </row>
    <row r="174" spans="1:31">
      <c r="A174" s="71" t="s">
        <v>199</v>
      </c>
      <c r="B174" s="72" t="s">
        <v>1762</v>
      </c>
      <c r="C174" s="68" t="s">
        <v>16</v>
      </c>
      <c r="D174" s="140" t="s">
        <v>1178</v>
      </c>
      <c r="E174" s="105" t="s">
        <v>364</v>
      </c>
      <c r="F174" s="127" t="s">
        <v>376</v>
      </c>
      <c r="G174" s="140" t="s">
        <v>522</v>
      </c>
      <c r="H174" s="98" t="s">
        <v>1773</v>
      </c>
      <c r="I174" s="67">
        <v>1848</v>
      </c>
      <c r="J174" s="127" t="s">
        <v>1661</v>
      </c>
      <c r="K174" s="127" t="s">
        <v>1694</v>
      </c>
      <c r="L174" s="140" t="s">
        <v>1223</v>
      </c>
      <c r="M174" s="140">
        <v>90110037565</v>
      </c>
      <c r="N174" s="141">
        <v>39610</v>
      </c>
      <c r="O174" s="76">
        <f>VLOOKUP(N174,Uzcard!C:P,4,0)</f>
        <v>0</v>
      </c>
      <c r="P174" s="76">
        <f>VLOOKUP(N174,Uzcard!C:P,6,0)</f>
        <v>0</v>
      </c>
      <c r="Q174" s="76">
        <f>VLOOKUP(N174,Uzcard!C:P,8,0)</f>
        <v>0</v>
      </c>
      <c r="R174" s="76">
        <f>VLOOKUP(N174,Uzcard!C:P,10,0)</f>
        <v>0</v>
      </c>
      <c r="S174" s="76">
        <f>VLOOKUP(N174,Uzcard!C:P,12,0)</f>
        <v>73.400000000000006</v>
      </c>
      <c r="T174" s="76">
        <f>VLOOKUP(N174,Uzcard!C:P,14,0)</f>
        <v>79.349999999999994</v>
      </c>
      <c r="U174" s="172">
        <f>IFERROR(VLOOKUP(N174,'2026 iyul uzcard'!A:D,3,0),"0")/1000</f>
        <v>81.2</v>
      </c>
      <c r="V174" s="172"/>
      <c r="W174" s="172"/>
      <c r="X174" s="172"/>
      <c r="Y174" s="172"/>
      <c r="Z174" s="172"/>
      <c r="AA174" s="162">
        <f t="shared" si="3"/>
        <v>233.95</v>
      </c>
      <c r="AB174" s="162"/>
      <c r="AC174" s="162"/>
      <c r="AD174" s="142" t="s">
        <v>1695</v>
      </c>
      <c r="AE174" s="77">
        <v>168243023</v>
      </c>
    </row>
    <row r="175" spans="1:31">
      <c r="A175" s="71" t="s">
        <v>200</v>
      </c>
      <c r="B175" s="72" t="s">
        <v>1762</v>
      </c>
      <c r="C175" s="68" t="s">
        <v>16</v>
      </c>
      <c r="D175" s="140" t="s">
        <v>1179</v>
      </c>
      <c r="E175" s="140" t="s">
        <v>364</v>
      </c>
      <c r="F175" s="127" t="s">
        <v>1162</v>
      </c>
      <c r="G175" s="140" t="s">
        <v>522</v>
      </c>
      <c r="H175" s="1" t="s">
        <v>1780</v>
      </c>
      <c r="I175" s="67">
        <v>1128.7</v>
      </c>
      <c r="J175" s="140" t="s">
        <v>1225</v>
      </c>
      <c r="K175" s="140" t="s">
        <v>1466</v>
      </c>
      <c r="L175" s="140" t="s">
        <v>1224</v>
      </c>
      <c r="M175" s="140">
        <v>90110037591</v>
      </c>
      <c r="N175" s="141">
        <v>39612</v>
      </c>
      <c r="O175" s="76">
        <f>VLOOKUP(N175,Uzcard!C:P,4,0)</f>
        <v>0</v>
      </c>
      <c r="P175" s="76">
        <f>VLOOKUP(N175,Uzcard!C:P,6,0)</f>
        <v>0</v>
      </c>
      <c r="Q175" s="76">
        <f>VLOOKUP(N175,Uzcard!C:P,8,0)</f>
        <v>0</v>
      </c>
      <c r="R175" s="76">
        <f>VLOOKUP(N175,Uzcard!C:P,10,0)</f>
        <v>0</v>
      </c>
      <c r="S175" s="76">
        <f>VLOOKUP(N175,Uzcard!C:P,12,0)</f>
        <v>0</v>
      </c>
      <c r="T175" s="76">
        <f>VLOOKUP(N175,Uzcard!C:P,14,0)</f>
        <v>2849.85</v>
      </c>
      <c r="U175" s="172">
        <f>IFERROR(VLOOKUP(N175,'2026 iyul uzcard'!A:D,3,0),"0")/1000</f>
        <v>804.7</v>
      </c>
      <c r="V175" s="172"/>
      <c r="W175" s="172"/>
      <c r="X175" s="172"/>
      <c r="Y175" s="172"/>
      <c r="Z175" s="172"/>
      <c r="AA175" s="162">
        <f t="shared" si="3"/>
        <v>3654.55</v>
      </c>
      <c r="AB175" s="162"/>
      <c r="AC175" s="162"/>
      <c r="AD175" s="142" t="s">
        <v>1501</v>
      </c>
      <c r="AE175" s="77">
        <v>362504800</v>
      </c>
    </row>
    <row r="176" spans="1:31">
      <c r="A176" s="71" t="s">
        <v>201</v>
      </c>
      <c r="B176" s="72" t="s">
        <v>1762</v>
      </c>
      <c r="C176" s="68" t="s">
        <v>16</v>
      </c>
      <c r="D176" s="140" t="s">
        <v>1180</v>
      </c>
      <c r="E176" s="140" t="s">
        <v>364</v>
      </c>
      <c r="F176" s="127" t="s">
        <v>475</v>
      </c>
      <c r="G176" s="140" t="s">
        <v>522</v>
      </c>
      <c r="H176" s="90" t="s">
        <v>1780</v>
      </c>
      <c r="I176" s="67">
        <v>1128.7</v>
      </c>
      <c r="J176" s="140" t="s">
        <v>1228</v>
      </c>
      <c r="K176" s="140" t="s">
        <v>1227</v>
      </c>
      <c r="L176" s="140" t="s">
        <v>1226</v>
      </c>
      <c r="M176" s="140">
        <v>90110027316</v>
      </c>
      <c r="N176" s="141">
        <v>28433</v>
      </c>
      <c r="O176" s="76">
        <f>VLOOKUP(N176,Uzcard!C:P,4,0)</f>
        <v>0</v>
      </c>
      <c r="P176" s="76">
        <f>VLOOKUP(N176,Uzcard!C:P,6,0)</f>
        <v>90.1</v>
      </c>
      <c r="Q176" s="76">
        <f>VLOOKUP(N176,Uzcard!C:P,8,0)</f>
        <v>81.5</v>
      </c>
      <c r="R176" s="76">
        <f>VLOOKUP(N176,Uzcard!C:P,10,0)</f>
        <v>229.3</v>
      </c>
      <c r="S176" s="76">
        <f>VLOOKUP(N176,Uzcard!C:P,12,0)</f>
        <v>108.5</v>
      </c>
      <c r="T176" s="76">
        <f>VLOOKUP(N176,Uzcard!C:P,14,0)</f>
        <v>69</v>
      </c>
      <c r="U176" s="172">
        <f>IFERROR(VLOOKUP(N176,'2026 iyul uzcard'!A:D,3,0),"0")/1000</f>
        <v>108.3</v>
      </c>
      <c r="V176" s="172"/>
      <c r="W176" s="172"/>
      <c r="X176" s="172"/>
      <c r="Y176" s="172"/>
      <c r="Z176" s="172"/>
      <c r="AA176" s="162">
        <f t="shared" si="3"/>
        <v>686.69999999999993</v>
      </c>
      <c r="AB176" s="162"/>
      <c r="AC176" s="162"/>
      <c r="AD176" s="142" t="s">
        <v>1715</v>
      </c>
      <c r="AE176" s="77">
        <v>131315497</v>
      </c>
    </row>
    <row r="177" spans="1:31">
      <c r="A177" s="71" t="s">
        <v>202</v>
      </c>
      <c r="B177" s="72" t="s">
        <v>1762</v>
      </c>
      <c r="C177" s="68" t="s">
        <v>16</v>
      </c>
      <c r="D177" s="140" t="s">
        <v>1181</v>
      </c>
      <c r="E177" s="140" t="s">
        <v>381</v>
      </c>
      <c r="F177" s="127" t="s">
        <v>382</v>
      </c>
      <c r="G177" s="163" t="s">
        <v>522</v>
      </c>
      <c r="H177" s="140"/>
      <c r="I177" s="140"/>
      <c r="J177" s="140">
        <v>1019353</v>
      </c>
      <c r="K177" s="140" t="s">
        <v>1231</v>
      </c>
      <c r="L177" s="140" t="s">
        <v>1229</v>
      </c>
      <c r="M177" s="140" t="s">
        <v>1230</v>
      </c>
      <c r="N177" s="141" t="s">
        <v>1230</v>
      </c>
      <c r="O177" s="76">
        <f>IFERROR(VLOOKUP(N177,'2026 yanvar vash'!A:D,4,0),"0")/1000</f>
        <v>0</v>
      </c>
      <c r="P177" s="173">
        <f>IFERROR(VLOOKUP(N177,'2026 fevral vash'!A:D,4,0),"0")/1000</f>
        <v>10.11</v>
      </c>
      <c r="Q177" s="173">
        <f>IFERROR(VLOOKUP(N177,'2026 mart vash'!A:D,4,0),"0")/1000</f>
        <v>8.5500000000000007</v>
      </c>
      <c r="R177" s="173">
        <f>IFERROR(VLOOKUP(N177,'2026 aprel vash'!A:D,4,0),"0")/1000</f>
        <v>8.15</v>
      </c>
      <c r="S177" s="173">
        <f>IFERROR(VLOOKUP(N177,'2026 may vash'!A:D,4,0),"0")/1000</f>
        <v>16.5</v>
      </c>
      <c r="T177" s="173">
        <f>IFERROR(VLOOKUP(N177,'2026 iyun vash'!A:D,4,0),"0")/1000</f>
        <v>0</v>
      </c>
      <c r="U177" s="173">
        <f>IFERROR(VLOOKUP(N177,'2026 iyul vash'!A:D,4,0),"0")/1000</f>
        <v>24.61</v>
      </c>
      <c r="V177" s="173"/>
      <c r="W177" s="173"/>
      <c r="X177" s="173"/>
      <c r="Y177" s="173"/>
      <c r="Z177" s="173"/>
      <c r="AA177" s="162">
        <f t="shared" si="3"/>
        <v>67.92</v>
      </c>
      <c r="AB177" s="162"/>
      <c r="AC177" s="162"/>
      <c r="AD177" s="142" t="s">
        <v>1713</v>
      </c>
      <c r="AE177" s="77">
        <v>216557286.44999999</v>
      </c>
    </row>
    <row r="178" spans="1:31">
      <c r="A178" s="71" t="s">
        <v>203</v>
      </c>
      <c r="B178" s="72" t="s">
        <v>1762</v>
      </c>
      <c r="C178" s="68" t="s">
        <v>16</v>
      </c>
      <c r="D178" s="140" t="s">
        <v>1182</v>
      </c>
      <c r="E178" s="140" t="s">
        <v>370</v>
      </c>
      <c r="F178" s="127" t="s">
        <v>376</v>
      </c>
      <c r="G178" s="140" t="s">
        <v>522</v>
      </c>
      <c r="H178" s="98" t="s">
        <v>1773</v>
      </c>
      <c r="I178" s="67">
        <v>1848</v>
      </c>
      <c r="J178" s="127">
        <v>1108457413</v>
      </c>
      <c r="K178" s="140" t="s">
        <v>1234</v>
      </c>
      <c r="L178" s="140" t="s">
        <v>1232</v>
      </c>
      <c r="M178" s="140" t="s">
        <v>1235</v>
      </c>
      <c r="N178" s="141" t="s">
        <v>1233</v>
      </c>
      <c r="O178" s="76">
        <f>VLOOKUP(N178,Humo!C:P,4,0)</f>
        <v>0</v>
      </c>
      <c r="P178" s="77">
        <f>VLOOKUP(N178,Humo!C:P,6,0)</f>
        <v>1056.3</v>
      </c>
      <c r="Q178" s="77">
        <f>VLOOKUP(N178,Humo!C:P,8,0)</f>
        <v>1884.7</v>
      </c>
      <c r="R178" s="77">
        <f>VLOOKUP(N178,Humo!C:P,10,0)</f>
        <v>266.7</v>
      </c>
      <c r="S178" s="77">
        <f>VLOOKUP(N178,Humo!C:P,12,0)</f>
        <v>739.1</v>
      </c>
      <c r="T178" s="77">
        <f>VLOOKUP(N178,Humo!C:P,14,0)</f>
        <v>714.5</v>
      </c>
      <c r="U178" s="77">
        <f>IFERROR(VLOOKUP(N178,'2026 iyul humo'!A:D,4,0),"0")/1000</f>
        <v>989.75</v>
      </c>
      <c r="V178" s="77"/>
      <c r="W178" s="77"/>
      <c r="X178" s="77"/>
      <c r="Y178" s="77"/>
      <c r="Z178" s="77"/>
      <c r="AA178" s="162">
        <f t="shared" si="3"/>
        <v>5651.0499999999993</v>
      </c>
      <c r="AB178" s="162"/>
      <c r="AC178" s="162"/>
      <c r="AD178" s="142" t="s">
        <v>1701</v>
      </c>
      <c r="AE178" s="77">
        <v>168243023</v>
      </c>
    </row>
    <row r="179" spans="1:31">
      <c r="A179" s="71" t="s">
        <v>204</v>
      </c>
      <c r="B179" s="72" t="s">
        <v>1762</v>
      </c>
      <c r="C179" s="68" t="s">
        <v>16</v>
      </c>
      <c r="D179" s="140" t="s">
        <v>1183</v>
      </c>
      <c r="E179" s="140" t="s">
        <v>364</v>
      </c>
      <c r="F179" s="127" t="s">
        <v>1162</v>
      </c>
      <c r="G179" s="140" t="s">
        <v>522</v>
      </c>
      <c r="H179" s="1" t="s">
        <v>1780</v>
      </c>
      <c r="I179" s="67">
        <v>1128.7</v>
      </c>
      <c r="J179" s="140" t="s">
        <v>1237</v>
      </c>
      <c r="K179" s="140" t="s">
        <v>1467</v>
      </c>
      <c r="L179" s="140" t="s">
        <v>1495</v>
      </c>
      <c r="M179" s="140">
        <v>90110037577</v>
      </c>
      <c r="N179" s="141">
        <v>39552</v>
      </c>
      <c r="O179" s="76">
        <f>VLOOKUP(N179,Uzcard!C:P,4,0)</f>
        <v>0</v>
      </c>
      <c r="P179" s="76">
        <f>VLOOKUP(N179,Uzcard!C:P,6,0)</f>
        <v>0</v>
      </c>
      <c r="Q179" s="76">
        <f>VLOOKUP(N179,Uzcard!C:P,8,0)</f>
        <v>0</v>
      </c>
      <c r="R179" s="76">
        <f>VLOOKUP(N179,Uzcard!C:P,10,0)</f>
        <v>0</v>
      </c>
      <c r="S179" s="76">
        <f>VLOOKUP(N179,Uzcard!C:P,12,0)</f>
        <v>0</v>
      </c>
      <c r="T179" s="76">
        <f>VLOOKUP(N179,Uzcard!C:P,14,0)</f>
        <v>178</v>
      </c>
      <c r="U179" s="172">
        <f>IFERROR(VLOOKUP(N179,'2026 iyul uzcard'!A:D,3,0),"0")/1000</f>
        <v>454.15</v>
      </c>
      <c r="V179" s="172"/>
      <c r="W179" s="172"/>
      <c r="X179" s="172"/>
      <c r="Y179" s="172"/>
      <c r="Z179" s="172"/>
      <c r="AA179" s="162">
        <f t="shared" si="3"/>
        <v>632.15</v>
      </c>
      <c r="AB179" s="162"/>
      <c r="AC179" s="162"/>
      <c r="AD179" s="142" t="s">
        <v>1501</v>
      </c>
      <c r="AE179" s="77">
        <v>362504800</v>
      </c>
    </row>
    <row r="180" spans="1:31">
      <c r="A180" s="71" t="s">
        <v>205</v>
      </c>
      <c r="B180" s="72" t="s">
        <v>1762</v>
      </c>
      <c r="C180" s="68" t="s">
        <v>16</v>
      </c>
      <c r="D180" s="140" t="s">
        <v>1184</v>
      </c>
      <c r="E180" s="140" t="s">
        <v>364</v>
      </c>
      <c r="F180" s="127" t="s">
        <v>475</v>
      </c>
      <c r="G180" s="140" t="s">
        <v>522</v>
      </c>
      <c r="H180" s="90" t="s">
        <v>1780</v>
      </c>
      <c r="I180" s="67">
        <v>1128.7</v>
      </c>
      <c r="J180" s="140" t="s">
        <v>1662</v>
      </c>
      <c r="K180" s="140" t="s">
        <v>1217</v>
      </c>
      <c r="L180" s="140" t="s">
        <v>1238</v>
      </c>
      <c r="M180" s="140" t="s">
        <v>1240</v>
      </c>
      <c r="N180" s="141">
        <v>21473</v>
      </c>
      <c r="O180" s="76">
        <f>VLOOKUP(N180,Uzcard!C:P,4,0)</f>
        <v>2971.55</v>
      </c>
      <c r="P180" s="76">
        <f>VLOOKUP(N180,Uzcard!C:P,6,0)</f>
        <v>863.55</v>
      </c>
      <c r="Q180" s="76">
        <f>VLOOKUP(N180,Uzcard!C:P,8,0)</f>
        <v>2948.8</v>
      </c>
      <c r="R180" s="76">
        <f>VLOOKUP(N180,Uzcard!C:P,10,0)</f>
        <v>3546.15</v>
      </c>
      <c r="S180" s="76">
        <f>VLOOKUP(N180,Uzcard!C:P,12,0)</f>
        <v>2608.25</v>
      </c>
      <c r="T180" s="76">
        <f>VLOOKUP(N180,Uzcard!C:P,14,0)</f>
        <v>2278.65</v>
      </c>
      <c r="U180" s="172">
        <f>IFERROR(VLOOKUP(N180,'2026 iyul uzcard'!A:D,3,0),"0")/1000</f>
        <v>2548.35</v>
      </c>
      <c r="V180" s="172"/>
      <c r="W180" s="172"/>
      <c r="X180" s="172"/>
      <c r="Y180" s="172"/>
      <c r="Z180" s="172"/>
      <c r="AA180" s="162">
        <f t="shared" si="3"/>
        <v>17765.3</v>
      </c>
      <c r="AB180" s="162"/>
      <c r="AC180" s="162"/>
      <c r="AD180" s="142" t="s">
        <v>1717</v>
      </c>
      <c r="AE180" s="77">
        <v>131315497</v>
      </c>
    </row>
    <row r="181" spans="1:31">
      <c r="A181" s="71" t="s">
        <v>206</v>
      </c>
      <c r="B181" s="72" t="s">
        <v>1762</v>
      </c>
      <c r="C181" s="68" t="s">
        <v>16</v>
      </c>
      <c r="D181" s="140" t="s">
        <v>1247</v>
      </c>
      <c r="E181" s="140" t="s">
        <v>364</v>
      </c>
      <c r="F181" s="127" t="s">
        <v>475</v>
      </c>
      <c r="G181" s="140" t="s">
        <v>522</v>
      </c>
      <c r="H181" s="90" t="s">
        <v>1780</v>
      </c>
      <c r="I181" s="67">
        <v>1128.7</v>
      </c>
      <c r="J181" s="140" t="s">
        <v>1663</v>
      </c>
      <c r="K181" s="140" t="s">
        <v>1664</v>
      </c>
      <c r="L181" s="140" t="s">
        <v>1261</v>
      </c>
      <c r="M181" s="140" t="s">
        <v>1262</v>
      </c>
      <c r="N181" s="141">
        <v>39874</v>
      </c>
      <c r="O181" s="76">
        <f>VLOOKUP(N181,Uzcard!C:P,4,0)</f>
        <v>0</v>
      </c>
      <c r="P181" s="76">
        <f>VLOOKUP(N181,Uzcard!C:P,6,0)</f>
        <v>0</v>
      </c>
      <c r="Q181" s="76">
        <f>VLOOKUP(N181,Uzcard!C:P,8,0)</f>
        <v>0</v>
      </c>
      <c r="R181" s="76">
        <f>VLOOKUP(N181,Uzcard!C:P,10,0)</f>
        <v>0</v>
      </c>
      <c r="S181" s="76">
        <f>VLOOKUP(N181,Uzcard!C:P,12,0)</f>
        <v>0</v>
      </c>
      <c r="T181" s="76">
        <f>VLOOKUP(N181,Uzcard!C:P,14,0)</f>
        <v>448.75</v>
      </c>
      <c r="U181" s="172">
        <f>IFERROR(VLOOKUP(N181,'2026 iyul uzcard'!A:D,3,0),"0")/1000</f>
        <v>1215.5999999999999</v>
      </c>
      <c r="V181" s="172"/>
      <c r="W181" s="172"/>
      <c r="X181" s="172"/>
      <c r="Y181" s="172"/>
      <c r="Z181" s="172"/>
      <c r="AA181" s="162">
        <f t="shared" si="3"/>
        <v>1664.35</v>
      </c>
      <c r="AB181" s="162"/>
      <c r="AC181" s="162"/>
      <c r="AD181" s="142" t="s">
        <v>1502</v>
      </c>
      <c r="AE181" s="77">
        <v>131315497</v>
      </c>
    </row>
    <row r="182" spans="1:31">
      <c r="A182" s="71" t="s">
        <v>207</v>
      </c>
      <c r="B182" s="72" t="s">
        <v>1762</v>
      </c>
      <c r="C182" s="68" t="s">
        <v>16</v>
      </c>
      <c r="D182" s="140" t="s">
        <v>1247</v>
      </c>
      <c r="E182" s="105" t="s">
        <v>364</v>
      </c>
      <c r="F182" s="127" t="s">
        <v>376</v>
      </c>
      <c r="G182" s="140" t="s">
        <v>522</v>
      </c>
      <c r="H182" s="98" t="s">
        <v>1773</v>
      </c>
      <c r="I182" s="67">
        <v>1848</v>
      </c>
      <c r="J182" s="127">
        <v>1108457424</v>
      </c>
      <c r="K182" s="144" t="s">
        <v>1728</v>
      </c>
      <c r="L182" s="140" t="s">
        <v>1261</v>
      </c>
      <c r="M182" s="140">
        <v>90110037714</v>
      </c>
      <c r="N182" s="141">
        <v>39687</v>
      </c>
      <c r="O182" s="76">
        <f>VLOOKUP(N182,Uzcard!C:P,4,0)</f>
        <v>0</v>
      </c>
      <c r="P182" s="76">
        <f>VLOOKUP(N182,Uzcard!C:P,6,0)</f>
        <v>0</v>
      </c>
      <c r="Q182" s="76">
        <f>VLOOKUP(N182,Uzcard!C:P,8,0)</f>
        <v>0</v>
      </c>
      <c r="R182" s="76">
        <f>VLOOKUP(N182,Uzcard!C:P,10,0)</f>
        <v>0</v>
      </c>
      <c r="S182" s="76">
        <f>VLOOKUP(N182,Uzcard!C:P,12,0)</f>
        <v>0</v>
      </c>
      <c r="T182" s="76">
        <f>VLOOKUP(N182,Uzcard!C:P,14,0)</f>
        <v>0</v>
      </c>
      <c r="U182" s="172">
        <f>IFERROR(VLOOKUP(N182,'2026 iyul uzcard'!A:D,3,0),"0")/1000</f>
        <v>0</v>
      </c>
      <c r="V182" s="172"/>
      <c r="W182" s="172"/>
      <c r="X182" s="172"/>
      <c r="Y182" s="172"/>
      <c r="Z182" s="172"/>
      <c r="AA182" s="162">
        <f t="shared" si="3"/>
        <v>0</v>
      </c>
      <c r="AB182" s="162"/>
      <c r="AC182" s="162"/>
      <c r="AD182" s="142" t="s">
        <v>1729</v>
      </c>
      <c r="AE182" s="77">
        <v>168243023</v>
      </c>
    </row>
    <row r="183" spans="1:31">
      <c r="A183" s="71" t="s">
        <v>208</v>
      </c>
      <c r="B183" s="72" t="s">
        <v>1762</v>
      </c>
      <c r="C183" s="68" t="s">
        <v>16</v>
      </c>
      <c r="D183" s="140" t="s">
        <v>1247</v>
      </c>
      <c r="E183" s="140" t="s">
        <v>370</v>
      </c>
      <c r="F183" s="127" t="s">
        <v>371</v>
      </c>
      <c r="G183" s="140" t="s">
        <v>522</v>
      </c>
      <c r="H183" s="120" t="s">
        <v>1773</v>
      </c>
      <c r="I183" s="67">
        <v>1848</v>
      </c>
      <c r="J183" s="145" t="s">
        <v>1778</v>
      </c>
      <c r="K183" s="144" t="s">
        <v>1724</v>
      </c>
      <c r="L183" s="140" t="s">
        <v>1261</v>
      </c>
      <c r="M183" s="140" t="s">
        <v>1665</v>
      </c>
      <c r="N183" s="141">
        <v>15700023</v>
      </c>
      <c r="O183" s="76">
        <f>VLOOKUP(N183,Humo!C:P,4,0)</f>
        <v>0</v>
      </c>
      <c r="P183" s="77">
        <f>VLOOKUP(N183,Humo!C:P,6,0)</f>
        <v>0</v>
      </c>
      <c r="Q183" s="77">
        <f>VLOOKUP(N183,Humo!C:P,8,0)</f>
        <v>0</v>
      </c>
      <c r="R183" s="77">
        <f>VLOOKUP(N183,Humo!C:P,10,0)</f>
        <v>0</v>
      </c>
      <c r="S183" s="77">
        <f>VLOOKUP(N183,Humo!C:P,12,0)</f>
        <v>0</v>
      </c>
      <c r="T183" s="77">
        <f>VLOOKUP(N183,Humo!C:P,14,0)</f>
        <v>8.6</v>
      </c>
      <c r="U183" s="77">
        <f>IFERROR(VLOOKUP(N183,'2026 iyul humo'!A:D,4,0),"0")/1000</f>
        <v>7.3</v>
      </c>
      <c r="V183" s="77"/>
      <c r="W183" s="77"/>
      <c r="X183" s="77"/>
      <c r="Y183" s="77"/>
      <c r="Z183" s="77"/>
      <c r="AA183" s="162">
        <f t="shared" si="3"/>
        <v>15.899999999999999</v>
      </c>
      <c r="AB183" s="162"/>
      <c r="AC183" s="162"/>
      <c r="AD183" s="142" t="s">
        <v>1560</v>
      </c>
      <c r="AE183" s="77">
        <v>62805331</v>
      </c>
    </row>
    <row r="184" spans="1:31">
      <c r="A184" s="71" t="s">
        <v>209</v>
      </c>
      <c r="B184" s="72" t="s">
        <v>1762</v>
      </c>
      <c r="C184" s="68" t="s">
        <v>16</v>
      </c>
      <c r="D184" s="140" t="s">
        <v>1263</v>
      </c>
      <c r="E184" s="140" t="s">
        <v>364</v>
      </c>
      <c r="F184" s="127" t="s">
        <v>475</v>
      </c>
      <c r="G184" s="140" t="s">
        <v>522</v>
      </c>
      <c r="H184" s="90" t="s">
        <v>1780</v>
      </c>
      <c r="I184" s="67">
        <v>1128.7</v>
      </c>
      <c r="J184" s="140" t="s">
        <v>1666</v>
      </c>
      <c r="K184" s="140" t="s">
        <v>1667</v>
      </c>
      <c r="L184" s="140" t="s">
        <v>1264</v>
      </c>
      <c r="M184" s="140" t="s">
        <v>1668</v>
      </c>
      <c r="N184" s="141">
        <v>39861</v>
      </c>
      <c r="O184" s="76">
        <f>VLOOKUP(N184,Uzcard!C:P,4,0)</f>
        <v>0</v>
      </c>
      <c r="P184" s="76">
        <f>VLOOKUP(N184,Uzcard!C:P,6,0)</f>
        <v>0</v>
      </c>
      <c r="Q184" s="76">
        <f>VLOOKUP(N184,Uzcard!C:P,8,0)</f>
        <v>0</v>
      </c>
      <c r="R184" s="76">
        <f>VLOOKUP(N184,Uzcard!C:P,10,0)</f>
        <v>0</v>
      </c>
      <c r="S184" s="76">
        <f>VLOOKUP(N184,Uzcard!C:P,12,0)</f>
        <v>0</v>
      </c>
      <c r="T184" s="76">
        <f>VLOOKUP(N184,Uzcard!C:P,14,0)</f>
        <v>0</v>
      </c>
      <c r="U184" s="172">
        <f>IFERROR(VLOOKUP(N184,'2026 iyul uzcard'!A:D,3,0),"0")/1000</f>
        <v>579.65</v>
      </c>
      <c r="V184" s="172"/>
      <c r="W184" s="172"/>
      <c r="X184" s="172"/>
      <c r="Y184" s="172"/>
      <c r="Z184" s="172"/>
      <c r="AA184" s="162">
        <f t="shared" si="3"/>
        <v>579.65</v>
      </c>
      <c r="AB184" s="162"/>
      <c r="AC184" s="162"/>
      <c r="AD184" s="142" t="s">
        <v>1506</v>
      </c>
      <c r="AE184" s="77">
        <v>131315497</v>
      </c>
    </row>
    <row r="185" spans="1:31">
      <c r="A185" s="71" t="s">
        <v>210</v>
      </c>
      <c r="B185" s="72" t="s">
        <v>1762</v>
      </c>
      <c r="C185" s="68" t="s">
        <v>16</v>
      </c>
      <c r="D185" s="140" t="s">
        <v>1263</v>
      </c>
      <c r="E185" s="140" t="s">
        <v>370</v>
      </c>
      <c r="F185" s="127" t="s">
        <v>371</v>
      </c>
      <c r="G185" s="140" t="s">
        <v>522</v>
      </c>
      <c r="H185" s="120" t="s">
        <v>1773</v>
      </c>
      <c r="I185" s="67">
        <v>1848</v>
      </c>
      <c r="J185" s="145" t="s">
        <v>1777</v>
      </c>
      <c r="K185" s="140" t="s">
        <v>1725</v>
      </c>
      <c r="L185" s="140" t="s">
        <v>1264</v>
      </c>
      <c r="M185" s="140" t="s">
        <v>1669</v>
      </c>
      <c r="N185" s="141">
        <v>15700025</v>
      </c>
      <c r="O185" s="76">
        <f>VLOOKUP(N185,Humo!C:P,4,0)</f>
        <v>0</v>
      </c>
      <c r="P185" s="77">
        <f>VLOOKUP(N185,Humo!C:P,6,0)</f>
        <v>0</v>
      </c>
      <c r="Q185" s="77">
        <f>VLOOKUP(N185,Humo!C:P,8,0)</f>
        <v>0</v>
      </c>
      <c r="R185" s="77">
        <f>VLOOKUP(N185,Humo!C:P,10,0)</f>
        <v>0</v>
      </c>
      <c r="S185" s="77">
        <f>VLOOKUP(N185,Humo!C:P,12,0)</f>
        <v>0</v>
      </c>
      <c r="T185" s="77">
        <f>VLOOKUP(N185,Humo!C:P,14,0)</f>
        <v>0</v>
      </c>
      <c r="U185" s="77">
        <f>IFERROR(VLOOKUP(N185,'2026 iyul humo'!A:D,4,0),"0")/1000</f>
        <v>725.75</v>
      </c>
      <c r="V185" s="77"/>
      <c r="W185" s="77"/>
      <c r="X185" s="77"/>
      <c r="Y185" s="77"/>
      <c r="Z185" s="77"/>
      <c r="AA185" s="162">
        <f t="shared" si="3"/>
        <v>725.75</v>
      </c>
      <c r="AB185" s="162"/>
      <c r="AC185" s="162"/>
      <c r="AD185" s="142" t="s">
        <v>1528</v>
      </c>
      <c r="AE185" s="77">
        <v>62805331</v>
      </c>
    </row>
    <row r="186" spans="1:31">
      <c r="A186" s="71" t="s">
        <v>211</v>
      </c>
      <c r="B186" s="72" t="s">
        <v>1762</v>
      </c>
      <c r="C186" s="68" t="s">
        <v>16</v>
      </c>
      <c r="D186" s="140" t="s">
        <v>1263</v>
      </c>
      <c r="E186" s="105" t="s">
        <v>364</v>
      </c>
      <c r="F186" s="127" t="s">
        <v>376</v>
      </c>
      <c r="G186" s="140" t="s">
        <v>522</v>
      </c>
      <c r="H186" s="98" t="s">
        <v>1773</v>
      </c>
      <c r="I186" s="67">
        <v>1848</v>
      </c>
      <c r="J186" s="127" t="s">
        <v>1256</v>
      </c>
      <c r="K186" s="127" t="s">
        <v>1211</v>
      </c>
      <c r="L186" s="140" t="s">
        <v>1670</v>
      </c>
      <c r="M186" s="140" t="s">
        <v>1478</v>
      </c>
      <c r="N186" s="141">
        <v>39259</v>
      </c>
      <c r="O186" s="76">
        <f>VLOOKUP(N186,Uzcard!C:P,4,0)</f>
        <v>0</v>
      </c>
      <c r="P186" s="76">
        <f>VLOOKUP(N186,Uzcard!C:P,6,0)</f>
        <v>0</v>
      </c>
      <c r="Q186" s="76">
        <f>VLOOKUP(N186,Uzcard!C:P,8,0)</f>
        <v>0</v>
      </c>
      <c r="R186" s="76">
        <f>VLOOKUP(N186,Uzcard!C:P,10,0)</f>
        <v>2.1</v>
      </c>
      <c r="S186" s="76">
        <f>VLOOKUP(N186,Uzcard!C:P,12,0)</f>
        <v>0</v>
      </c>
      <c r="T186" s="76">
        <f>VLOOKUP(N186,Uzcard!C:P,14,0)</f>
        <v>0</v>
      </c>
      <c r="U186" s="172">
        <f>IFERROR(VLOOKUP(N186,'2026 iyul uzcard'!A:D,3,0),"0")/1000</f>
        <v>140.4</v>
      </c>
      <c r="V186" s="172"/>
      <c r="W186" s="172"/>
      <c r="X186" s="172"/>
      <c r="Y186" s="172"/>
      <c r="Z186" s="172"/>
      <c r="AA186" s="162">
        <f t="shared" si="3"/>
        <v>142.5</v>
      </c>
      <c r="AB186" s="162"/>
      <c r="AC186" s="162"/>
      <c r="AD186" s="142" t="s">
        <v>1696</v>
      </c>
      <c r="AE186" s="77">
        <v>105827950</v>
      </c>
    </row>
    <row r="187" spans="1:31">
      <c r="A187" s="71" t="s">
        <v>212</v>
      </c>
      <c r="B187" s="72" t="s">
        <v>1762</v>
      </c>
      <c r="C187" s="68" t="s">
        <v>16</v>
      </c>
      <c r="D187" s="140" t="s">
        <v>1671</v>
      </c>
      <c r="E187" s="140" t="s">
        <v>364</v>
      </c>
      <c r="F187" s="127" t="s">
        <v>475</v>
      </c>
      <c r="G187" s="140" t="s">
        <v>522</v>
      </c>
      <c r="H187" s="90" t="s">
        <v>1780</v>
      </c>
      <c r="I187" s="67">
        <v>1128.7</v>
      </c>
      <c r="J187" s="140" t="s">
        <v>527</v>
      </c>
      <c r="K187" s="140" t="s">
        <v>528</v>
      </c>
      <c r="L187" s="140" t="s">
        <v>1272</v>
      </c>
      <c r="M187" s="140">
        <v>901120401</v>
      </c>
      <c r="N187" s="141">
        <v>21288</v>
      </c>
      <c r="O187" s="76">
        <f>VLOOKUP(N187,Uzcard!C:P,4,0)</f>
        <v>2385.6</v>
      </c>
      <c r="P187" s="76">
        <f>VLOOKUP(N187,Uzcard!C:P,6,0)</f>
        <v>2039.7</v>
      </c>
      <c r="Q187" s="76">
        <f>VLOOKUP(N187,Uzcard!C:P,8,0)</f>
        <v>3013.95</v>
      </c>
      <c r="R187" s="76">
        <f>VLOOKUP(N187,Uzcard!C:P,10,0)</f>
        <v>2784.45</v>
      </c>
      <c r="S187" s="76">
        <f>VLOOKUP(N187,Uzcard!C:P,12,0)</f>
        <v>4008.1</v>
      </c>
      <c r="T187" s="76">
        <f>VLOOKUP(N187,Uzcard!C:P,14,0)</f>
        <v>5405.4</v>
      </c>
      <c r="U187" s="172">
        <f>IFERROR(VLOOKUP(N187,'2026 iyul uzcard'!A:D,3,0),"0")/1000</f>
        <v>4075.85</v>
      </c>
      <c r="V187" s="172"/>
      <c r="W187" s="172"/>
      <c r="X187" s="172"/>
      <c r="Y187" s="172"/>
      <c r="Z187" s="172"/>
      <c r="AA187" s="162">
        <f t="shared" si="3"/>
        <v>23713.05</v>
      </c>
      <c r="AB187" s="162"/>
      <c r="AC187" s="162"/>
      <c r="AD187" s="142" t="s">
        <v>1710</v>
      </c>
      <c r="AE187" s="77">
        <v>131315497</v>
      </c>
    </row>
    <row r="188" spans="1:31">
      <c r="A188" s="71" t="s">
        <v>213</v>
      </c>
      <c r="B188" s="72" t="s">
        <v>1762</v>
      </c>
      <c r="C188" s="68" t="s">
        <v>16</v>
      </c>
      <c r="D188" s="140" t="s">
        <v>1671</v>
      </c>
      <c r="E188" s="140" t="s">
        <v>370</v>
      </c>
      <c r="F188" s="127" t="s">
        <v>376</v>
      </c>
      <c r="G188" s="140" t="s">
        <v>522</v>
      </c>
      <c r="H188" s="98" t="s">
        <v>1773</v>
      </c>
      <c r="I188" s="67">
        <v>1848</v>
      </c>
      <c r="J188" s="127" t="s">
        <v>526</v>
      </c>
      <c r="K188" s="140" t="s">
        <v>1273</v>
      </c>
      <c r="L188" s="140" t="s">
        <v>1272</v>
      </c>
      <c r="M188" s="140" t="s">
        <v>1688</v>
      </c>
      <c r="N188" s="141" t="s">
        <v>1687</v>
      </c>
      <c r="O188" s="76">
        <f>VLOOKUP(N188,Humo!C:P,4,0)</f>
        <v>882.9</v>
      </c>
      <c r="P188" s="77">
        <f>VLOOKUP(N188,Humo!C:P,6,0)</f>
        <v>619</v>
      </c>
      <c r="Q188" s="77">
        <f>VLOOKUP(N188,Humo!C:P,8,0)</f>
        <v>1363</v>
      </c>
      <c r="R188" s="77">
        <f>VLOOKUP(N188,Humo!C:P,10,0)</f>
        <v>717.4</v>
      </c>
      <c r="S188" s="77">
        <f>VLOOKUP(N188,Humo!C:P,12,0)</f>
        <v>491.4</v>
      </c>
      <c r="T188" s="77">
        <f>VLOOKUP(N188,Humo!C:P,14,0)</f>
        <v>304</v>
      </c>
      <c r="U188" s="77">
        <f>IFERROR(VLOOKUP(N188,'2026 iyul humo'!A:D,4,0),"0")/1000</f>
        <v>2422.3000000000002</v>
      </c>
      <c r="V188" s="77"/>
      <c r="W188" s="77"/>
      <c r="X188" s="77"/>
      <c r="Y188" s="77"/>
      <c r="Z188" s="77"/>
      <c r="AA188" s="162">
        <f t="shared" si="3"/>
        <v>6800.0000000000009</v>
      </c>
      <c r="AB188" s="162"/>
      <c r="AC188" s="162"/>
      <c r="AD188" s="142" t="s">
        <v>1698</v>
      </c>
      <c r="AE188" s="77">
        <v>168243023</v>
      </c>
    </row>
    <row r="189" spans="1:31">
      <c r="A189" s="71" t="s">
        <v>214</v>
      </c>
      <c r="B189" s="72" t="s">
        <v>1762</v>
      </c>
      <c r="C189" s="68" t="s">
        <v>16</v>
      </c>
      <c r="D189" s="140" t="s">
        <v>1671</v>
      </c>
      <c r="E189" s="140" t="s">
        <v>381</v>
      </c>
      <c r="F189" s="127" t="s">
        <v>382</v>
      </c>
      <c r="G189" s="140" t="s">
        <v>491</v>
      </c>
      <c r="H189" s="140"/>
      <c r="I189" s="140"/>
      <c r="J189" s="140">
        <v>2218258</v>
      </c>
      <c r="K189" s="140" t="s">
        <v>530</v>
      </c>
      <c r="L189" s="140" t="s">
        <v>1272</v>
      </c>
      <c r="M189" s="140" t="s">
        <v>533</v>
      </c>
      <c r="N189" s="141" t="s">
        <v>533</v>
      </c>
      <c r="O189" s="76">
        <f>IFERROR(VLOOKUP(N189,'2026 yanvar vash'!A:D,4,0),"0")/1000</f>
        <v>0.14000000000000001</v>
      </c>
      <c r="P189" s="173">
        <f>IFERROR(VLOOKUP(N189,'2026 fevral vash'!A:D,4,0),"0")/1000</f>
        <v>5.24</v>
      </c>
      <c r="Q189" s="173">
        <f>IFERROR(VLOOKUP(N189,'2026 mart vash'!A:D,4,0),"0")/1000</f>
        <v>5.99</v>
      </c>
      <c r="R189" s="173">
        <f>IFERROR(VLOOKUP(N189,'2026 aprel vash'!A:D,4,0),"0")/1000</f>
        <v>1.95</v>
      </c>
      <c r="S189" s="173">
        <f>IFERROR(VLOOKUP(N189,'2026 may vash'!A:D,4,0),"0")/1000</f>
        <v>0</v>
      </c>
      <c r="T189" s="173">
        <f>IFERROR(VLOOKUP(N189,'2026 iyun vash'!A:D,4,0),"0")/1000</f>
        <v>0</v>
      </c>
      <c r="U189" s="173">
        <f>IFERROR(VLOOKUP(N189,'2026 iyul vash'!A:D,4,0),"0")/1000</f>
        <v>0</v>
      </c>
      <c r="V189" s="173"/>
      <c r="W189" s="173"/>
      <c r="X189" s="173"/>
      <c r="Y189" s="173"/>
      <c r="Z189" s="173"/>
      <c r="AA189" s="162">
        <f t="shared" si="3"/>
        <v>13.32</v>
      </c>
      <c r="AB189" s="162"/>
      <c r="AC189" s="162"/>
      <c r="AD189" s="142" t="s">
        <v>1532</v>
      </c>
      <c r="AE189" s="77">
        <v>216557286.44999999</v>
      </c>
    </row>
    <row r="190" spans="1:31">
      <c r="A190" s="71" t="s">
        <v>215</v>
      </c>
      <c r="B190" s="72" t="s">
        <v>1762</v>
      </c>
      <c r="C190" s="68" t="s">
        <v>16</v>
      </c>
      <c r="D190" s="140" t="s">
        <v>1269</v>
      </c>
      <c r="E190" s="140" t="s">
        <v>381</v>
      </c>
      <c r="F190" s="127" t="s">
        <v>382</v>
      </c>
      <c r="G190" s="140" t="s">
        <v>491</v>
      </c>
      <c r="H190" s="140"/>
      <c r="I190" s="140"/>
      <c r="J190" s="140">
        <v>1419353</v>
      </c>
      <c r="K190" s="140" t="s">
        <v>531</v>
      </c>
      <c r="L190" s="140" t="s">
        <v>1276</v>
      </c>
      <c r="M190" s="140" t="s">
        <v>534</v>
      </c>
      <c r="N190" s="141" t="s">
        <v>534</v>
      </c>
      <c r="O190" s="76">
        <f>IFERROR(VLOOKUP(N190,'2026 yanvar vash'!A:D,4,0),"0")/1000</f>
        <v>38.11</v>
      </c>
      <c r="P190" s="173">
        <f>IFERROR(VLOOKUP(N190,'2026 fevral vash'!A:D,4,0),"0")/1000</f>
        <v>22</v>
      </c>
      <c r="Q190" s="173">
        <f>IFERROR(VLOOKUP(N190,'2026 mart vash'!A:D,4,0),"0")/1000</f>
        <v>26.42</v>
      </c>
      <c r="R190" s="173">
        <f>IFERROR(VLOOKUP(N190,'2026 aprel vash'!A:D,4,0),"0")/1000</f>
        <v>12.84</v>
      </c>
      <c r="S190" s="173">
        <f>IFERROR(VLOOKUP(N190,'2026 may vash'!A:D,4,0),"0")/1000</f>
        <v>23.37</v>
      </c>
      <c r="T190" s="173">
        <f>IFERROR(VLOOKUP(N190,'2026 iyun vash'!A:D,4,0),"0")/1000</f>
        <v>3.3</v>
      </c>
      <c r="U190" s="173">
        <f>IFERROR(VLOOKUP(N190,'2026 iyul vash'!A:D,4,0),"0")/1000</f>
        <v>51.31</v>
      </c>
      <c r="V190" s="173"/>
      <c r="W190" s="173"/>
      <c r="X190" s="173"/>
      <c r="Y190" s="173"/>
      <c r="Z190" s="173"/>
      <c r="AA190" s="162">
        <f t="shared" si="3"/>
        <v>177.35000000000002</v>
      </c>
      <c r="AB190" s="162"/>
      <c r="AC190" s="162"/>
      <c r="AD190" s="142" t="s">
        <v>1715</v>
      </c>
      <c r="AE190" s="77">
        <v>216557286.44999999</v>
      </c>
    </row>
    <row r="191" spans="1:31">
      <c r="A191" s="71" t="s">
        <v>216</v>
      </c>
      <c r="B191" s="72" t="s">
        <v>1762</v>
      </c>
      <c r="C191" s="68" t="s">
        <v>16</v>
      </c>
      <c r="D191" s="163" t="s">
        <v>1672</v>
      </c>
      <c r="E191" s="105" t="s">
        <v>364</v>
      </c>
      <c r="F191" s="127" t="s">
        <v>376</v>
      </c>
      <c r="G191" s="140" t="s">
        <v>522</v>
      </c>
      <c r="H191" s="98" t="s">
        <v>1773</v>
      </c>
      <c r="I191" s="67">
        <v>1848</v>
      </c>
      <c r="J191" s="127" t="s">
        <v>1461</v>
      </c>
      <c r="K191" s="140" t="s">
        <v>1294</v>
      </c>
      <c r="L191" s="140" t="s">
        <v>1166</v>
      </c>
      <c r="M191" s="140">
        <v>90110037478</v>
      </c>
      <c r="N191" s="141">
        <v>39485</v>
      </c>
      <c r="O191" s="76">
        <f>VLOOKUP(N191,Uzcard!C:P,4,0)</f>
        <v>0</v>
      </c>
      <c r="P191" s="76">
        <f>VLOOKUP(N191,Uzcard!C:P,6,0)</f>
        <v>0</v>
      </c>
      <c r="Q191" s="76">
        <f>VLOOKUP(N191,Uzcard!C:P,8,0)</f>
        <v>0</v>
      </c>
      <c r="R191" s="76">
        <f>VLOOKUP(N191,Uzcard!C:P,10,0)</f>
        <v>0</v>
      </c>
      <c r="S191" s="76">
        <f>VLOOKUP(N191,Uzcard!C:P,12,0)</f>
        <v>0</v>
      </c>
      <c r="T191" s="76">
        <f>VLOOKUP(N191,Uzcard!C:P,14,0)</f>
        <v>1710.1</v>
      </c>
      <c r="U191" s="172">
        <f>IFERROR(VLOOKUP(N191,'2026 iyul uzcard'!A:D,3,0),"0")/1000</f>
        <v>1879.3</v>
      </c>
      <c r="V191" s="172"/>
      <c r="W191" s="172"/>
      <c r="X191" s="172"/>
      <c r="Y191" s="172"/>
      <c r="Z191" s="172"/>
      <c r="AA191" s="162">
        <f t="shared" si="3"/>
        <v>3589.3999999999996</v>
      </c>
      <c r="AB191" s="162"/>
      <c r="AC191" s="162"/>
      <c r="AD191" s="142">
        <v>44231</v>
      </c>
      <c r="AE191" s="77">
        <v>168243023</v>
      </c>
    </row>
    <row r="192" spans="1:31">
      <c r="A192" s="71" t="s">
        <v>217</v>
      </c>
      <c r="B192" s="72" t="s">
        <v>1762</v>
      </c>
      <c r="C192" s="68" t="s">
        <v>16</v>
      </c>
      <c r="D192" s="140" t="s">
        <v>1675</v>
      </c>
      <c r="E192" s="140" t="s">
        <v>364</v>
      </c>
      <c r="F192" s="127" t="s">
        <v>475</v>
      </c>
      <c r="G192" s="140" t="s">
        <v>522</v>
      </c>
      <c r="H192" s="90" t="s">
        <v>1780</v>
      </c>
      <c r="I192" s="67">
        <v>1128.7</v>
      </c>
      <c r="J192" s="140" t="s">
        <v>1334</v>
      </c>
      <c r="K192" s="140" t="s">
        <v>1329</v>
      </c>
      <c r="L192" s="140" t="s">
        <v>1676</v>
      </c>
      <c r="M192" s="140" t="s">
        <v>1677</v>
      </c>
      <c r="N192" s="141">
        <v>25779</v>
      </c>
      <c r="O192" s="76">
        <f>VLOOKUP(N192,Uzcard!C:P,4,0)</f>
        <v>0</v>
      </c>
      <c r="P192" s="76">
        <f>VLOOKUP(N192,Uzcard!C:P,6,0)</f>
        <v>326.2</v>
      </c>
      <c r="Q192" s="76">
        <f>VLOOKUP(N192,Uzcard!C:P,8,0)</f>
        <v>445.35</v>
      </c>
      <c r="R192" s="76">
        <f>VLOOKUP(N192,Uzcard!C:P,10,0)</f>
        <v>74.599999999999994</v>
      </c>
      <c r="S192" s="76">
        <f>VLOOKUP(N192,Uzcard!C:P,12,0)</f>
        <v>425</v>
      </c>
      <c r="T192" s="76">
        <f>VLOOKUP(N192,Uzcard!C:P,14,0)</f>
        <v>0</v>
      </c>
      <c r="U192" s="172">
        <f>IFERROR(VLOOKUP(N192,'2026 iyul uzcard'!A:D,3,0),"0")/1000</f>
        <v>23.3</v>
      </c>
      <c r="V192" s="172"/>
      <c r="W192" s="172"/>
      <c r="X192" s="172"/>
      <c r="Y192" s="172"/>
      <c r="Z192" s="172"/>
      <c r="AA192" s="162">
        <f t="shared" si="3"/>
        <v>1294.45</v>
      </c>
      <c r="AB192" s="162"/>
      <c r="AC192" s="162"/>
      <c r="AD192" s="142" t="s">
        <v>1606</v>
      </c>
      <c r="AE192" s="77">
        <v>144808312</v>
      </c>
    </row>
    <row r="193" spans="1:31">
      <c r="A193" s="71" t="s">
        <v>218</v>
      </c>
      <c r="B193" s="72" t="s">
        <v>1762</v>
      </c>
      <c r="C193" s="68" t="s">
        <v>16</v>
      </c>
      <c r="D193" s="72" t="s">
        <v>1771</v>
      </c>
      <c r="E193" s="140" t="s">
        <v>364</v>
      </c>
      <c r="F193" s="127" t="s">
        <v>1162</v>
      </c>
      <c r="G193" s="140" t="s">
        <v>522</v>
      </c>
      <c r="H193" s="1" t="s">
        <v>1780</v>
      </c>
      <c r="I193" s="67">
        <v>1128.7</v>
      </c>
      <c r="J193" s="140" t="s">
        <v>1492</v>
      </c>
      <c r="K193" s="140" t="s">
        <v>1493</v>
      </c>
      <c r="L193" s="140" t="s">
        <v>1678</v>
      </c>
      <c r="M193" s="140" t="s">
        <v>1494</v>
      </c>
      <c r="N193" s="141">
        <v>39520</v>
      </c>
      <c r="O193" s="76">
        <f>VLOOKUP(N193,Uzcard!C:P,4,0)</f>
        <v>0</v>
      </c>
      <c r="P193" s="76">
        <f>VLOOKUP(N193,Uzcard!C:P,6,0)</f>
        <v>0</v>
      </c>
      <c r="Q193" s="76">
        <f>VLOOKUP(N193,Uzcard!C:P,8,0)</f>
        <v>0</v>
      </c>
      <c r="R193" s="76">
        <f>VLOOKUP(N193,Uzcard!C:P,10,0)</f>
        <v>0</v>
      </c>
      <c r="S193" s="76">
        <f>VLOOKUP(N193,Uzcard!C:P,12,0)</f>
        <v>0</v>
      </c>
      <c r="T193" s="76">
        <f>VLOOKUP(N193,Uzcard!C:P,14,0)</f>
        <v>0</v>
      </c>
      <c r="U193" s="172">
        <f>IFERROR(VLOOKUP(N193,'2026 iyul uzcard'!A:D,3,0),"0")/1000</f>
        <v>36</v>
      </c>
      <c r="V193" s="172"/>
      <c r="W193" s="172"/>
      <c r="X193" s="172"/>
      <c r="Y193" s="172"/>
      <c r="Z193" s="172"/>
      <c r="AA193" s="162">
        <f t="shared" si="3"/>
        <v>36</v>
      </c>
      <c r="AB193" s="162"/>
      <c r="AC193" s="162"/>
      <c r="AD193" s="142" t="s">
        <v>1501</v>
      </c>
      <c r="AE193" s="77">
        <v>362504800</v>
      </c>
    </row>
    <row r="194" spans="1:31">
      <c r="A194" s="71" t="s">
        <v>219</v>
      </c>
      <c r="B194" s="72" t="s">
        <v>1762</v>
      </c>
      <c r="C194" s="68" t="s">
        <v>16</v>
      </c>
      <c r="D194" s="140" t="s">
        <v>24</v>
      </c>
      <c r="E194" s="140" t="s">
        <v>381</v>
      </c>
      <c r="F194" s="127" t="s">
        <v>382</v>
      </c>
      <c r="G194" s="140" t="s">
        <v>491</v>
      </c>
      <c r="H194" s="140"/>
      <c r="I194" s="140"/>
      <c r="J194" s="140">
        <v>19339</v>
      </c>
      <c r="K194" s="127" t="s">
        <v>1730</v>
      </c>
      <c r="L194" s="140" t="s">
        <v>1166</v>
      </c>
      <c r="M194" s="140" t="s">
        <v>1454</v>
      </c>
      <c r="N194" s="82" t="s">
        <v>1454</v>
      </c>
      <c r="O194" s="76">
        <f>IFERROR(VLOOKUP(N194,'2026 yanvar vash'!A:D,4,0),"0")/1000</f>
        <v>0</v>
      </c>
      <c r="P194" s="173">
        <f>IFERROR(VLOOKUP(N194,'2026 fevral vash'!A:D,4,0),"0")/1000</f>
        <v>0</v>
      </c>
      <c r="Q194" s="173">
        <f>IFERROR(VLOOKUP(N194,'2026 mart vash'!A:D,4,0),"0")/1000</f>
        <v>0</v>
      </c>
      <c r="R194" s="173">
        <f>IFERROR(VLOOKUP(N194,'2026 aprel vash'!A:D,4,0),"0")/1000</f>
        <v>0</v>
      </c>
      <c r="S194" s="173">
        <f>IFERROR(VLOOKUP(N194,'2026 may vash'!A:D,4,0),"0")/1000</f>
        <v>0</v>
      </c>
      <c r="T194" s="173">
        <f>IFERROR(VLOOKUP(N194,'2026 iyun vash'!A:D,4,0),"0")/1000</f>
        <v>0</v>
      </c>
      <c r="U194" s="173">
        <f>IFERROR(VLOOKUP(N194,'2026 iyul vash'!A:D,4,0),"0")/1000</f>
        <v>0</v>
      </c>
      <c r="V194" s="173"/>
      <c r="W194" s="173"/>
      <c r="X194" s="173"/>
      <c r="Y194" s="173"/>
      <c r="Z194" s="173"/>
      <c r="AA194" s="162">
        <f t="shared" si="3"/>
        <v>0</v>
      </c>
      <c r="AB194" s="162"/>
      <c r="AC194" s="162"/>
      <c r="AD194" s="142" t="s">
        <v>1731</v>
      </c>
      <c r="AE194" s="77">
        <v>216557286.44999999</v>
      </c>
    </row>
    <row r="195" spans="1:31">
      <c r="A195" s="71" t="s">
        <v>220</v>
      </c>
      <c r="B195" s="72" t="s">
        <v>1762</v>
      </c>
      <c r="C195" s="68" t="s">
        <v>16</v>
      </c>
      <c r="D195" s="140" t="s">
        <v>24</v>
      </c>
      <c r="E195" s="140" t="s">
        <v>381</v>
      </c>
      <c r="F195" s="127" t="s">
        <v>382</v>
      </c>
      <c r="G195" s="140" t="s">
        <v>491</v>
      </c>
      <c r="H195" s="140"/>
      <c r="I195" s="140"/>
      <c r="J195" s="140">
        <v>1819353</v>
      </c>
      <c r="K195" s="140" t="s">
        <v>1267</v>
      </c>
      <c r="L195" s="140" t="s">
        <v>1264</v>
      </c>
      <c r="M195" s="140" t="s">
        <v>1265</v>
      </c>
      <c r="N195" s="141" t="s">
        <v>1265</v>
      </c>
      <c r="O195" s="76">
        <f>IFERROR(VLOOKUP(N195,'2026 yanvar vash'!A:D,4,0),"0")/1000</f>
        <v>120.91</v>
      </c>
      <c r="P195" s="173">
        <f>IFERROR(VLOOKUP(N195,'2026 fevral vash'!A:D,4,0),"0")/1000</f>
        <v>56.56</v>
      </c>
      <c r="Q195" s="173">
        <f>IFERROR(VLOOKUP(N195,'2026 mart vash'!A:D,4,0),"0")/1000</f>
        <v>43.11</v>
      </c>
      <c r="R195" s="173">
        <f>IFERROR(VLOOKUP(N195,'2026 aprel vash'!A:D,4,0),"0")/1000</f>
        <v>34.700000000000003</v>
      </c>
      <c r="S195" s="173">
        <f>IFERROR(VLOOKUP(N195,'2026 may vash'!A:D,4,0),"0")/1000</f>
        <v>56.6</v>
      </c>
      <c r="T195" s="173">
        <f>IFERROR(VLOOKUP(N195,'2026 iyun vash'!A:D,4,0),"0")/1000</f>
        <v>0</v>
      </c>
      <c r="U195" s="173">
        <f>IFERROR(VLOOKUP(N195,'2026 iyul vash'!A:D,4,0),"0")/1000</f>
        <v>0</v>
      </c>
      <c r="V195" s="173"/>
      <c r="W195" s="173"/>
      <c r="X195" s="173"/>
      <c r="Y195" s="173"/>
      <c r="Z195" s="173"/>
      <c r="AA195" s="162">
        <f t="shared" si="3"/>
        <v>311.88</v>
      </c>
      <c r="AB195" s="162"/>
      <c r="AC195" s="162"/>
      <c r="AD195" s="142" t="s">
        <v>1713</v>
      </c>
      <c r="AE195" s="77">
        <v>216557286.44999999</v>
      </c>
    </row>
    <row r="196" spans="1:31">
      <c r="A196" s="71" t="s">
        <v>221</v>
      </c>
      <c r="B196" s="72" t="s">
        <v>1762</v>
      </c>
      <c r="C196" s="68" t="s">
        <v>16</v>
      </c>
      <c r="D196" s="140" t="s">
        <v>24</v>
      </c>
      <c r="E196" s="140" t="s">
        <v>381</v>
      </c>
      <c r="F196" s="127" t="s">
        <v>382</v>
      </c>
      <c r="G196" s="140" t="s">
        <v>491</v>
      </c>
      <c r="H196" s="140"/>
      <c r="I196" s="140"/>
      <c r="J196" s="140" t="s">
        <v>967</v>
      </c>
      <c r="K196" s="140" t="s">
        <v>968</v>
      </c>
      <c r="L196" s="140" t="s">
        <v>962</v>
      </c>
      <c r="M196" s="140" t="s">
        <v>969</v>
      </c>
      <c r="N196" s="181" t="s">
        <v>969</v>
      </c>
      <c r="O196" s="76">
        <f>IFERROR(VLOOKUP(N196,'2026 yanvar vash'!A:D,4,0),"0")/1000</f>
        <v>0</v>
      </c>
      <c r="P196" s="173">
        <f>IFERROR(VLOOKUP(N196,'2026 fevral vash'!A:D,4,0),"0")/1000</f>
        <v>0</v>
      </c>
      <c r="Q196" s="173">
        <f>IFERROR(VLOOKUP(N196,'2026 mart vash'!A:D,4,0),"0")/1000</f>
        <v>0</v>
      </c>
      <c r="R196" s="173">
        <f>IFERROR(VLOOKUP(N196,'2026 aprel vash'!A:D,4,0),"0")/1000</f>
        <v>0</v>
      </c>
      <c r="S196" s="173">
        <f>IFERROR(VLOOKUP(N196,'2026 may vash'!A:D,4,0),"0")/1000</f>
        <v>0</v>
      </c>
      <c r="T196" s="173">
        <f>IFERROR(VLOOKUP(N196,'2026 iyun vash'!A:D,4,0),"0")/1000</f>
        <v>0</v>
      </c>
      <c r="U196" s="173">
        <f>IFERROR(VLOOKUP(N196,'2026 iyul vash'!A:D,4,0),"0")/1000</f>
        <v>0</v>
      </c>
      <c r="V196" s="173"/>
      <c r="W196" s="173"/>
      <c r="X196" s="173"/>
      <c r="Y196" s="173"/>
      <c r="Z196" s="173"/>
      <c r="AA196" s="162">
        <f t="shared" ref="AA196" si="5">+SUM(O196:Z196)</f>
        <v>0</v>
      </c>
      <c r="AB196" s="162"/>
      <c r="AC196" s="162"/>
      <c r="AD196" s="142" t="s">
        <v>1506</v>
      </c>
      <c r="AE196" s="77">
        <v>216557286.44999999</v>
      </c>
    </row>
    <row r="197" spans="1:31">
      <c r="A197" s="71" t="s">
        <v>222</v>
      </c>
      <c r="B197" s="72" t="s">
        <v>1762</v>
      </c>
      <c r="C197" s="68" t="s">
        <v>16</v>
      </c>
      <c r="D197" s="140" t="s">
        <v>24</v>
      </c>
      <c r="E197" s="140" t="s">
        <v>364</v>
      </c>
      <c r="F197" s="127" t="s">
        <v>474</v>
      </c>
      <c r="G197" s="140" t="s">
        <v>491</v>
      </c>
      <c r="H197" s="140"/>
      <c r="I197" s="140"/>
      <c r="J197" s="127" t="s">
        <v>1663</v>
      </c>
      <c r="K197" s="127" t="s">
        <v>1739</v>
      </c>
      <c r="L197" s="140" t="s">
        <v>1248</v>
      </c>
      <c r="M197" s="140" t="s">
        <v>1251</v>
      </c>
      <c r="N197" s="141">
        <v>25772</v>
      </c>
      <c r="O197" s="76">
        <f>VLOOKUP(N197,Uzcard!C:P,4,0)</f>
        <v>4896.6000000000004</v>
      </c>
      <c r="P197" s="76">
        <f>VLOOKUP(N197,Uzcard!C:P,6,0)</f>
        <v>7303.05</v>
      </c>
      <c r="Q197" s="76">
        <f>VLOOKUP(N197,Uzcard!C:P,8,0)</f>
        <v>6422.95</v>
      </c>
      <c r="R197" s="76">
        <f>VLOOKUP(N197,Uzcard!C:P,10,0)</f>
        <v>4889.55</v>
      </c>
      <c r="S197" s="76">
        <f>VLOOKUP(N197,Uzcard!C:P,12,0)</f>
        <v>0</v>
      </c>
      <c r="T197" s="76">
        <f>VLOOKUP(N197,Uzcard!C:P,14,0)</f>
        <v>0</v>
      </c>
      <c r="U197" s="172">
        <f>IFERROR(VLOOKUP(N197,'2026 iyul uzcard'!A:D,3,0),"0")/1000</f>
        <v>0</v>
      </c>
      <c r="V197" s="172"/>
      <c r="W197" s="172"/>
      <c r="X197" s="172"/>
      <c r="Y197" s="172"/>
      <c r="Z197" s="172"/>
      <c r="AA197" s="162">
        <f t="shared" si="3"/>
        <v>23512.15</v>
      </c>
      <c r="AB197" s="162"/>
      <c r="AC197" s="162"/>
      <c r="AD197" s="142" t="s">
        <v>1606</v>
      </c>
      <c r="AE197" s="77">
        <v>144808312</v>
      </c>
    </row>
    <row r="198" spans="1:31">
      <c r="A198" s="71" t="s">
        <v>223</v>
      </c>
      <c r="B198" s="72" t="s">
        <v>1762</v>
      </c>
      <c r="C198" s="68" t="s">
        <v>16</v>
      </c>
      <c r="D198" s="140" t="s">
        <v>24</v>
      </c>
      <c r="E198" s="140" t="s">
        <v>381</v>
      </c>
      <c r="F198" s="127" t="s">
        <v>382</v>
      </c>
      <c r="G198" s="140" t="s">
        <v>491</v>
      </c>
      <c r="H198" s="140"/>
      <c r="I198" s="140"/>
      <c r="J198" s="140">
        <v>1019339</v>
      </c>
      <c r="K198" s="127" t="s">
        <v>1732</v>
      </c>
      <c r="L198" s="140" t="s">
        <v>1248</v>
      </c>
      <c r="M198" s="140" t="s">
        <v>1250</v>
      </c>
      <c r="N198" s="141" t="s">
        <v>1250</v>
      </c>
      <c r="O198" s="76">
        <f>IFERROR(VLOOKUP(N198,'2026 yanvar vash'!A:D,4,0),"0")/1000</f>
        <v>0</v>
      </c>
      <c r="P198" s="173">
        <f>IFERROR(VLOOKUP(N198,'2026 fevral vash'!A:D,4,0),"0")/1000</f>
        <v>0</v>
      </c>
      <c r="Q198" s="173">
        <f>IFERROR(VLOOKUP(N198,'2026 mart vash'!A:D,4,0),"0")/1000</f>
        <v>0</v>
      </c>
      <c r="R198" s="173">
        <f>IFERROR(VLOOKUP(N198,'2026 aprel vash'!A:D,4,0),"0")/1000</f>
        <v>0</v>
      </c>
      <c r="S198" s="173">
        <f>IFERROR(VLOOKUP(N198,'2026 may vash'!A:D,4,0),"0")/1000</f>
        <v>0</v>
      </c>
      <c r="T198" s="173">
        <f>IFERROR(VLOOKUP(N198,'2026 iyun vash'!A:D,4,0),"0")/1000</f>
        <v>0</v>
      </c>
      <c r="U198" s="173">
        <f>IFERROR(VLOOKUP(N198,'2026 iyul vash'!A:D,4,0),"0")/1000</f>
        <v>0</v>
      </c>
      <c r="V198" s="173"/>
      <c r="W198" s="173"/>
      <c r="X198" s="173"/>
      <c r="Y198" s="173"/>
      <c r="Z198" s="173"/>
      <c r="AA198" s="162">
        <f t="shared" si="3"/>
        <v>0</v>
      </c>
      <c r="AB198" s="162"/>
      <c r="AC198" s="162"/>
      <c r="AD198" s="142" t="s">
        <v>1568</v>
      </c>
      <c r="AE198" s="77">
        <v>216557286.44999999</v>
      </c>
    </row>
    <row r="199" spans="1:31">
      <c r="A199" s="71" t="s">
        <v>224</v>
      </c>
      <c r="B199" s="72" t="s">
        <v>1762</v>
      </c>
      <c r="C199" s="68" t="s">
        <v>16</v>
      </c>
      <c r="D199" s="140" t="s">
        <v>24</v>
      </c>
      <c r="E199" s="140" t="s">
        <v>364</v>
      </c>
      <c r="F199" s="127" t="s">
        <v>474</v>
      </c>
      <c r="G199" s="140" t="s">
        <v>491</v>
      </c>
      <c r="H199" s="140"/>
      <c r="I199" s="140"/>
      <c r="J199" s="140" t="s">
        <v>1284</v>
      </c>
      <c r="K199" s="140" t="s">
        <v>1280</v>
      </c>
      <c r="L199" s="140" t="s">
        <v>1277</v>
      </c>
      <c r="M199" s="140">
        <v>901117252</v>
      </c>
      <c r="N199" s="141">
        <v>18058</v>
      </c>
      <c r="O199" s="76">
        <f>VLOOKUP(N199,Uzcard!C:P,4,0)</f>
        <v>0</v>
      </c>
      <c r="P199" s="76">
        <f>VLOOKUP(N199,Uzcard!C:P,6,0)</f>
        <v>0</v>
      </c>
      <c r="Q199" s="76">
        <f>VLOOKUP(N199,Uzcard!C:P,8,0)</f>
        <v>0</v>
      </c>
      <c r="R199" s="76">
        <f>VLOOKUP(N199,Uzcard!C:P,10,0)</f>
        <v>0</v>
      </c>
      <c r="S199" s="76">
        <f>VLOOKUP(N199,Uzcard!C:P,12,0)</f>
        <v>0</v>
      </c>
      <c r="T199" s="76">
        <f>VLOOKUP(N199,Uzcard!C:P,14,0)</f>
        <v>0</v>
      </c>
      <c r="U199" s="172">
        <f>IFERROR(VLOOKUP(N199,'2026 iyul uzcard'!A:D,3,0),"0")/1000</f>
        <v>0</v>
      </c>
      <c r="V199" s="172"/>
      <c r="W199" s="172"/>
      <c r="X199" s="172"/>
      <c r="Y199" s="172"/>
      <c r="Z199" s="172"/>
      <c r="AA199" s="162">
        <f t="shared" ref="AA199:AA258" si="6">+SUM(O199:Z199)</f>
        <v>0</v>
      </c>
      <c r="AB199" s="162"/>
      <c r="AC199" s="162"/>
      <c r="AD199" s="142" t="s">
        <v>1707</v>
      </c>
      <c r="AE199" s="77">
        <v>100458192.72</v>
      </c>
    </row>
    <row r="200" spans="1:31">
      <c r="A200" s="71" t="s">
        <v>225</v>
      </c>
      <c r="B200" s="72" t="s">
        <v>1762</v>
      </c>
      <c r="C200" s="68" t="s">
        <v>16</v>
      </c>
      <c r="D200" s="140" t="s">
        <v>24</v>
      </c>
      <c r="E200" s="140" t="s">
        <v>370</v>
      </c>
      <c r="F200" s="127" t="s">
        <v>371</v>
      </c>
      <c r="G200" s="140" t="s">
        <v>522</v>
      </c>
      <c r="H200" s="140"/>
      <c r="I200" s="140"/>
      <c r="J200" s="140">
        <v>5310177366</v>
      </c>
      <c r="K200" s="140" t="s">
        <v>1281</v>
      </c>
      <c r="L200" s="140" t="s">
        <v>1277</v>
      </c>
      <c r="M200" s="140" t="s">
        <v>1283</v>
      </c>
      <c r="N200" s="141" t="s">
        <v>1278</v>
      </c>
      <c r="O200" s="76">
        <f>VLOOKUP(N200,Humo!C:P,4,0)</f>
        <v>709</v>
      </c>
      <c r="P200" s="77">
        <f>VLOOKUP(N200,Humo!C:P,6,0)</f>
        <v>400</v>
      </c>
      <c r="Q200" s="77">
        <f>VLOOKUP(N200,Humo!C:P,8,0)</f>
        <v>0</v>
      </c>
      <c r="R200" s="77">
        <f>VLOOKUP(N200,Humo!C:P,10,0)</f>
        <v>651.29999999999995</v>
      </c>
      <c r="S200" s="77">
        <f>VLOOKUP(N200,Humo!C:P,12,0)</f>
        <v>0</v>
      </c>
      <c r="T200" s="77">
        <f>VLOOKUP(N200,Humo!C:P,14,0)</f>
        <v>0</v>
      </c>
      <c r="U200" s="77">
        <f>IFERROR(VLOOKUP(N200,'2026 iyul humo'!A:D,4,0),"0")/1000</f>
        <v>0</v>
      </c>
      <c r="V200" s="77"/>
      <c r="W200" s="77"/>
      <c r="X200" s="77"/>
      <c r="Y200" s="77"/>
      <c r="Z200" s="77"/>
      <c r="AA200" s="162">
        <f t="shared" si="6"/>
        <v>1760.3</v>
      </c>
      <c r="AB200" s="162"/>
      <c r="AC200" s="162"/>
      <c r="AD200" s="142" t="s">
        <v>1699</v>
      </c>
      <c r="AE200" s="77">
        <v>62805331</v>
      </c>
    </row>
    <row r="201" spans="1:31">
      <c r="A201" s="71" t="s">
        <v>226</v>
      </c>
      <c r="B201" s="72" t="s">
        <v>1762</v>
      </c>
      <c r="C201" s="68" t="s">
        <v>16</v>
      </c>
      <c r="D201" s="140" t="s">
        <v>24</v>
      </c>
      <c r="E201" s="140" t="s">
        <v>381</v>
      </c>
      <c r="F201" s="127" t="s">
        <v>382</v>
      </c>
      <c r="G201" s="140" t="s">
        <v>491</v>
      </c>
      <c r="H201" s="140"/>
      <c r="I201" s="140"/>
      <c r="J201" s="140">
        <v>24193553</v>
      </c>
      <c r="K201" s="140" t="s">
        <v>1282</v>
      </c>
      <c r="L201" s="140" t="s">
        <v>1277</v>
      </c>
      <c r="M201" s="140" t="s">
        <v>1279</v>
      </c>
      <c r="N201" s="141" t="s">
        <v>1279</v>
      </c>
      <c r="O201" s="76">
        <f>IFERROR(VLOOKUP(N201,'2026 yanvar vash'!A:D,4,0),"0")/1000</f>
        <v>0</v>
      </c>
      <c r="P201" s="173">
        <f>IFERROR(VLOOKUP(N201,'2026 fevral vash'!A:D,4,0),"0")/1000</f>
        <v>0</v>
      </c>
      <c r="Q201" s="173">
        <f>IFERROR(VLOOKUP(N201,'2026 mart vash'!A:D,4,0),"0")/1000</f>
        <v>0</v>
      </c>
      <c r="R201" s="173">
        <f>IFERROR(VLOOKUP(N201,'2026 aprel vash'!A:D,4,0),"0")/1000</f>
        <v>0</v>
      </c>
      <c r="S201" s="173">
        <f>IFERROR(VLOOKUP(N201,'2026 may vash'!A:D,4,0),"0")/1000</f>
        <v>0</v>
      </c>
      <c r="T201" s="173">
        <f>IFERROR(VLOOKUP(N201,'2026 iyun vash'!A:D,4,0),"0")/1000</f>
        <v>0</v>
      </c>
      <c r="U201" s="173">
        <f>IFERROR(VLOOKUP(N201,'2026 iyul vash'!A:D,4,0),"0")/1000</f>
        <v>0</v>
      </c>
      <c r="V201" s="173"/>
      <c r="W201" s="173"/>
      <c r="X201" s="173"/>
      <c r="Y201" s="173"/>
      <c r="Z201" s="173"/>
      <c r="AA201" s="162">
        <f t="shared" si="6"/>
        <v>0</v>
      </c>
      <c r="AB201" s="162"/>
      <c r="AC201" s="162"/>
      <c r="AD201" s="142" t="s">
        <v>1711</v>
      </c>
      <c r="AE201" s="77">
        <v>216557286.28</v>
      </c>
    </row>
    <row r="202" spans="1:31">
      <c r="A202" s="71" t="s">
        <v>227</v>
      </c>
      <c r="B202" s="72" t="s">
        <v>1762</v>
      </c>
      <c r="C202" s="68" t="s">
        <v>16</v>
      </c>
      <c r="D202" s="140" t="s">
        <v>24</v>
      </c>
      <c r="E202" s="140" t="s">
        <v>364</v>
      </c>
      <c r="F202" s="127" t="s">
        <v>474</v>
      </c>
      <c r="G202" s="140" t="s">
        <v>491</v>
      </c>
      <c r="H202" s="140"/>
      <c r="I202" s="140"/>
      <c r="J202" s="140" t="s">
        <v>970</v>
      </c>
      <c r="K202" s="140" t="s">
        <v>971</v>
      </c>
      <c r="L202" s="140" t="s">
        <v>1290</v>
      </c>
      <c r="M202" s="140">
        <v>901114151</v>
      </c>
      <c r="N202" s="141">
        <v>14950</v>
      </c>
      <c r="O202" s="76">
        <f>VLOOKUP(N202,Uzcard!C:P,4,0)</f>
        <v>0</v>
      </c>
      <c r="P202" s="76">
        <f>VLOOKUP(N202,Uzcard!C:P,6,0)</f>
        <v>0</v>
      </c>
      <c r="Q202" s="76">
        <f>VLOOKUP(N202,Uzcard!C:P,8,0)</f>
        <v>0</v>
      </c>
      <c r="R202" s="76">
        <f>VLOOKUP(N202,Uzcard!C:P,10,0)</f>
        <v>0</v>
      </c>
      <c r="S202" s="76">
        <f>VLOOKUP(N202,Uzcard!C:P,12,0)</f>
        <v>0</v>
      </c>
      <c r="T202" s="76">
        <f>VLOOKUP(N202,Uzcard!C:P,14,0)</f>
        <v>0</v>
      </c>
      <c r="U202" s="172">
        <f>IFERROR(VLOOKUP(N202,'2026 iyul uzcard'!A:D,3,0),"0")/1000</f>
        <v>0</v>
      </c>
      <c r="V202" s="172"/>
      <c r="W202" s="172"/>
      <c r="X202" s="172"/>
      <c r="Y202" s="172"/>
      <c r="Z202" s="172"/>
      <c r="AA202" s="162">
        <f t="shared" si="6"/>
        <v>0</v>
      </c>
      <c r="AB202" s="162"/>
      <c r="AC202" s="162"/>
      <c r="AD202" s="142" t="s">
        <v>1721</v>
      </c>
      <c r="AE202" s="77">
        <v>108319139.8</v>
      </c>
    </row>
    <row r="203" spans="1:31">
      <c r="A203" s="71" t="s">
        <v>228</v>
      </c>
      <c r="B203" s="72" t="s">
        <v>1762</v>
      </c>
      <c r="C203" s="68" t="s">
        <v>16</v>
      </c>
      <c r="D203" s="140" t="s">
        <v>24</v>
      </c>
      <c r="E203" s="140" t="s">
        <v>381</v>
      </c>
      <c r="F203" s="127" t="s">
        <v>382</v>
      </c>
      <c r="G203" s="140" t="s">
        <v>491</v>
      </c>
      <c r="H203" s="140"/>
      <c r="I203" s="140"/>
      <c r="J203" s="140">
        <v>2818258</v>
      </c>
      <c r="K203" s="140" t="s">
        <v>1288</v>
      </c>
      <c r="L203" s="140" t="s">
        <v>1285</v>
      </c>
      <c r="M203" s="140" t="s">
        <v>1286</v>
      </c>
      <c r="N203" s="141" t="s">
        <v>1286</v>
      </c>
      <c r="O203" s="76">
        <f>IFERROR(VLOOKUP(N203,'2026 yanvar vash'!A:D,4,0),"0")/1000</f>
        <v>0</v>
      </c>
      <c r="P203" s="173">
        <f>IFERROR(VLOOKUP(N203,'2026 fevral vash'!A:D,4,0),"0")/1000</f>
        <v>0</v>
      </c>
      <c r="Q203" s="173">
        <f>IFERROR(VLOOKUP(N203,'2026 mart vash'!A:D,4,0),"0")/1000</f>
        <v>0</v>
      </c>
      <c r="R203" s="173">
        <f>IFERROR(VLOOKUP(N203,'2026 aprel vash'!A:D,4,0),"0")/1000</f>
        <v>0</v>
      </c>
      <c r="S203" s="173">
        <f>IFERROR(VLOOKUP(N203,'2026 may vash'!A:D,4,0),"0")/1000</f>
        <v>0</v>
      </c>
      <c r="T203" s="173">
        <f>IFERROR(VLOOKUP(N203,'2026 iyun vash'!A:D,4,0),"0")/1000</f>
        <v>0</v>
      </c>
      <c r="U203" s="173">
        <f>IFERROR(VLOOKUP(N203,'2026 iyul vash'!A:D,4,0),"0")/1000</f>
        <v>0</v>
      </c>
      <c r="V203" s="173"/>
      <c r="W203" s="173"/>
      <c r="X203" s="173"/>
      <c r="Y203" s="173"/>
      <c r="Z203" s="173"/>
      <c r="AA203" s="162">
        <f t="shared" si="6"/>
        <v>0</v>
      </c>
      <c r="AB203" s="162"/>
      <c r="AC203" s="162"/>
      <c r="AD203" s="142" t="s">
        <v>1594</v>
      </c>
      <c r="AE203" s="77">
        <v>171904842.81999999</v>
      </c>
    </row>
    <row r="204" spans="1:31">
      <c r="A204" s="71" t="s">
        <v>229</v>
      </c>
      <c r="B204" s="72" t="s">
        <v>1762</v>
      </c>
      <c r="C204" s="68" t="s">
        <v>16</v>
      </c>
      <c r="D204" s="140" t="s">
        <v>24</v>
      </c>
      <c r="E204" s="140" t="s">
        <v>364</v>
      </c>
      <c r="F204" s="127" t="s">
        <v>474</v>
      </c>
      <c r="G204" s="140" t="s">
        <v>491</v>
      </c>
      <c r="H204" s="140"/>
      <c r="I204" s="140"/>
      <c r="J204" s="140" t="s">
        <v>1268</v>
      </c>
      <c r="K204" s="140" t="s">
        <v>1266</v>
      </c>
      <c r="L204" s="140" t="s">
        <v>1264</v>
      </c>
      <c r="M204" s="140">
        <v>901118476</v>
      </c>
      <c r="N204" s="141">
        <v>19291</v>
      </c>
      <c r="O204" s="76">
        <f>VLOOKUP(N204,Uzcard!C:P,4,0)</f>
        <v>0</v>
      </c>
      <c r="P204" s="76">
        <f>VLOOKUP(N204,Uzcard!C:P,6,0)</f>
        <v>0</v>
      </c>
      <c r="Q204" s="76">
        <f>VLOOKUP(N204,Uzcard!C:P,8,0)</f>
        <v>0</v>
      </c>
      <c r="R204" s="76">
        <f>VLOOKUP(N204,Uzcard!C:P,10,0)</f>
        <v>0</v>
      </c>
      <c r="S204" s="76">
        <f>VLOOKUP(N204,Uzcard!C:P,12,0)</f>
        <v>0</v>
      </c>
      <c r="T204" s="76">
        <f>VLOOKUP(N204,Uzcard!C:P,14,0)</f>
        <v>0</v>
      </c>
      <c r="U204" s="172">
        <f>IFERROR(VLOOKUP(N204,'2026 iyul uzcard'!A:D,3,0),"0")/1000</f>
        <v>0</v>
      </c>
      <c r="V204" s="172"/>
      <c r="W204" s="172"/>
      <c r="X204" s="172"/>
      <c r="Y204" s="172"/>
      <c r="Z204" s="172"/>
      <c r="AA204" s="162">
        <f t="shared" si="6"/>
        <v>0</v>
      </c>
      <c r="AB204" s="162"/>
      <c r="AC204" s="162"/>
      <c r="AD204" s="142" t="s">
        <v>1704</v>
      </c>
      <c r="AE204" s="77">
        <v>100458192.72</v>
      </c>
    </row>
    <row r="205" spans="1:31">
      <c r="A205" s="71" t="s">
        <v>230</v>
      </c>
      <c r="B205" s="72" t="s">
        <v>1762</v>
      </c>
      <c r="C205" s="68" t="s">
        <v>16</v>
      </c>
      <c r="D205" s="140" t="s">
        <v>24</v>
      </c>
      <c r="E205" s="140" t="s">
        <v>364</v>
      </c>
      <c r="F205" s="127" t="s">
        <v>474</v>
      </c>
      <c r="G205" s="140" t="s">
        <v>491</v>
      </c>
      <c r="H205" s="140"/>
      <c r="I205" s="140"/>
      <c r="J205" s="140" t="s">
        <v>1297</v>
      </c>
      <c r="K205" s="140" t="s">
        <v>1293</v>
      </c>
      <c r="L205" s="140" t="s">
        <v>1476</v>
      </c>
      <c r="M205" s="140">
        <v>901115284</v>
      </c>
      <c r="N205" s="141">
        <v>16052</v>
      </c>
      <c r="O205" s="76">
        <f>VLOOKUP(N205,Uzcard!C:P,4,0)</f>
        <v>11775.15</v>
      </c>
      <c r="P205" s="76">
        <f>VLOOKUP(N205,Uzcard!C:P,6,0)</f>
        <v>6111.15</v>
      </c>
      <c r="Q205" s="76">
        <f>VLOOKUP(N205,Uzcard!C:P,8,0)</f>
        <v>7519.65</v>
      </c>
      <c r="R205" s="76">
        <f>VLOOKUP(N205,Uzcard!C:P,10,0)</f>
        <v>1813.9</v>
      </c>
      <c r="S205" s="76">
        <f>VLOOKUP(N205,Uzcard!C:P,12,0)</f>
        <v>216</v>
      </c>
      <c r="T205" s="76">
        <f>VLOOKUP(N205,Uzcard!C:P,14,0)</f>
        <v>0</v>
      </c>
      <c r="U205" s="172">
        <f>IFERROR(VLOOKUP(N205,'2026 iyul uzcard'!A:D,3,0),"0")/1000</f>
        <v>0</v>
      </c>
      <c r="V205" s="172"/>
      <c r="W205" s="172"/>
      <c r="X205" s="172"/>
      <c r="Y205" s="172"/>
      <c r="Z205" s="172"/>
      <c r="AA205" s="162">
        <f t="shared" si="6"/>
        <v>27435.85</v>
      </c>
      <c r="AB205" s="162"/>
      <c r="AC205" s="162"/>
      <c r="AD205" s="142" t="s">
        <v>1719</v>
      </c>
      <c r="AE205" s="77">
        <v>106507213.69</v>
      </c>
    </row>
    <row r="206" spans="1:31">
      <c r="A206" s="71" t="s">
        <v>231</v>
      </c>
      <c r="B206" s="72" t="s">
        <v>1762</v>
      </c>
      <c r="C206" s="68" t="s">
        <v>16</v>
      </c>
      <c r="D206" s="140" t="s">
        <v>24</v>
      </c>
      <c r="E206" s="140" t="s">
        <v>381</v>
      </c>
      <c r="F206" s="127" t="s">
        <v>382</v>
      </c>
      <c r="G206" s="140" t="s">
        <v>491</v>
      </c>
      <c r="H206" s="140"/>
      <c r="I206" s="140"/>
      <c r="J206" s="140">
        <v>1919533</v>
      </c>
      <c r="K206" s="140" t="s">
        <v>1295</v>
      </c>
      <c r="L206" s="140" t="s">
        <v>1476</v>
      </c>
      <c r="M206" s="140" t="s">
        <v>1291</v>
      </c>
      <c r="N206" s="141" t="s">
        <v>1291</v>
      </c>
      <c r="O206" s="76">
        <f>IFERROR(VLOOKUP(N206,'2026 yanvar vash'!A:D,4,0),"0")/1000</f>
        <v>236.3</v>
      </c>
      <c r="P206" s="173">
        <f>IFERROR(VLOOKUP(N206,'2026 fevral vash'!A:D,4,0),"0")/1000</f>
        <v>115.42</v>
      </c>
      <c r="Q206" s="173">
        <f>IFERROR(VLOOKUP(N206,'2026 mart vash'!A:D,4,0),"0")/1000</f>
        <v>201.85</v>
      </c>
      <c r="R206" s="173">
        <f>IFERROR(VLOOKUP(N206,'2026 aprel vash'!A:D,4,0),"0")/1000</f>
        <v>0</v>
      </c>
      <c r="S206" s="173">
        <f>IFERROR(VLOOKUP(N206,'2026 may vash'!A:D,4,0),"0")/1000</f>
        <v>0</v>
      </c>
      <c r="T206" s="173">
        <f>IFERROR(VLOOKUP(N206,'2026 iyun vash'!A:D,4,0),"0")/1000</f>
        <v>0</v>
      </c>
      <c r="U206" s="173">
        <f>IFERROR(VLOOKUP(N206,'2026 iyul vash'!A:D,4,0),"0")/1000</f>
        <v>0</v>
      </c>
      <c r="V206" s="173"/>
      <c r="W206" s="173"/>
      <c r="X206" s="173"/>
      <c r="Y206" s="173"/>
      <c r="Z206" s="173"/>
      <c r="AA206" s="162">
        <f t="shared" si="6"/>
        <v>553.57000000000005</v>
      </c>
      <c r="AB206" s="162"/>
      <c r="AC206" s="162"/>
      <c r="AD206" s="142" t="s">
        <v>1713</v>
      </c>
      <c r="AE206" s="77">
        <v>216557286.44999999</v>
      </c>
    </row>
    <row r="207" spans="1:31">
      <c r="A207" s="71" t="s">
        <v>232</v>
      </c>
      <c r="B207" s="72" t="s">
        <v>1762</v>
      </c>
      <c r="C207" s="68" t="s">
        <v>16</v>
      </c>
      <c r="D207" s="140" t="s">
        <v>24</v>
      </c>
      <c r="E207" s="140" t="s">
        <v>381</v>
      </c>
      <c r="F207" s="127" t="s">
        <v>382</v>
      </c>
      <c r="G207" s="140" t="s">
        <v>491</v>
      </c>
      <c r="H207" s="140"/>
      <c r="I207" s="140"/>
      <c r="J207" s="140">
        <v>1618258</v>
      </c>
      <c r="K207" s="140" t="s">
        <v>1296</v>
      </c>
      <c r="L207" s="140" t="s">
        <v>1476</v>
      </c>
      <c r="M207" s="140" t="s">
        <v>1292</v>
      </c>
      <c r="N207" s="141" t="s">
        <v>1292</v>
      </c>
      <c r="O207" s="76">
        <f>IFERROR(VLOOKUP(N207,'2026 yanvar vash'!A:D,4,0),"0")/1000</f>
        <v>0</v>
      </c>
      <c r="P207" s="173">
        <f>IFERROR(VLOOKUP(N207,'2026 fevral vash'!A:D,4,0),"0")/1000</f>
        <v>0</v>
      </c>
      <c r="Q207" s="173">
        <f>IFERROR(VLOOKUP(N207,'2026 mart vash'!A:D,4,0),"0")/1000</f>
        <v>0</v>
      </c>
      <c r="R207" s="173">
        <f>IFERROR(VLOOKUP(N207,'2026 aprel vash'!A:D,4,0),"0")/1000</f>
        <v>0</v>
      </c>
      <c r="S207" s="173">
        <f>IFERROR(VLOOKUP(N207,'2026 may vash'!A:D,4,0),"0")/1000</f>
        <v>0</v>
      </c>
      <c r="T207" s="173">
        <f>IFERROR(VLOOKUP(N207,'2026 iyun vash'!A:D,4,0),"0")/1000</f>
        <v>0</v>
      </c>
      <c r="U207" s="173">
        <f>IFERROR(VLOOKUP(N207,'2026 iyul vash'!A:D,4,0),"0")/1000</f>
        <v>0</v>
      </c>
      <c r="V207" s="173"/>
      <c r="W207" s="173"/>
      <c r="X207" s="173"/>
      <c r="Y207" s="173"/>
      <c r="Z207" s="173"/>
      <c r="AA207" s="162">
        <f t="shared" si="6"/>
        <v>0</v>
      </c>
      <c r="AB207" s="162"/>
      <c r="AC207" s="162"/>
      <c r="AD207" s="142" t="s">
        <v>1714</v>
      </c>
      <c r="AE207" s="77">
        <v>171904842.81999999</v>
      </c>
    </row>
    <row r="208" spans="1:31">
      <c r="A208" s="71" t="s">
        <v>233</v>
      </c>
      <c r="B208" s="72" t="s">
        <v>1762</v>
      </c>
      <c r="C208" s="68" t="s">
        <v>16</v>
      </c>
      <c r="D208" s="140" t="s">
        <v>24</v>
      </c>
      <c r="E208" s="140" t="s">
        <v>364</v>
      </c>
      <c r="F208" s="127" t="s">
        <v>474</v>
      </c>
      <c r="G208" s="140" t="s">
        <v>491</v>
      </c>
      <c r="H208" s="140"/>
      <c r="I208" s="140"/>
      <c r="J208" s="140" t="s">
        <v>1305</v>
      </c>
      <c r="K208" s="140" t="s">
        <v>1301</v>
      </c>
      <c r="L208" s="140" t="s">
        <v>1298</v>
      </c>
      <c r="M208" s="140">
        <v>901118477</v>
      </c>
      <c r="N208" s="141">
        <v>19292</v>
      </c>
      <c r="O208" s="76">
        <f>VLOOKUP(N208,Uzcard!C:P,4,0)</f>
        <v>0</v>
      </c>
      <c r="P208" s="76">
        <f>VLOOKUP(N208,Uzcard!C:P,6,0)</f>
        <v>0</v>
      </c>
      <c r="Q208" s="76">
        <f>VLOOKUP(N208,Uzcard!C:P,8,0)</f>
        <v>0</v>
      </c>
      <c r="R208" s="76">
        <f>VLOOKUP(N208,Uzcard!C:P,10,0)</f>
        <v>0</v>
      </c>
      <c r="S208" s="76">
        <f>VLOOKUP(N208,Uzcard!C:P,12,0)</f>
        <v>0</v>
      </c>
      <c r="T208" s="76">
        <f>VLOOKUP(N208,Uzcard!C:P,14,0)</f>
        <v>0</v>
      </c>
      <c r="U208" s="172">
        <f>IFERROR(VLOOKUP(N208,'2026 iyul uzcard'!A:D,3,0),"0")/1000</f>
        <v>0</v>
      </c>
      <c r="V208" s="172"/>
      <c r="W208" s="172"/>
      <c r="X208" s="172"/>
      <c r="Y208" s="172"/>
      <c r="Z208" s="172"/>
      <c r="AA208" s="162">
        <f t="shared" si="6"/>
        <v>0</v>
      </c>
      <c r="AB208" s="162"/>
      <c r="AC208" s="162"/>
      <c r="AD208" s="142" t="s">
        <v>1697</v>
      </c>
      <c r="AE208" s="77">
        <v>100458192.72</v>
      </c>
    </row>
    <row r="209" spans="1:31">
      <c r="A209" s="71" t="s">
        <v>234</v>
      </c>
      <c r="B209" s="72" t="s">
        <v>1762</v>
      </c>
      <c r="C209" s="68" t="s">
        <v>16</v>
      </c>
      <c r="D209" s="140" t="s">
        <v>24</v>
      </c>
      <c r="E209" s="140" t="s">
        <v>364</v>
      </c>
      <c r="F209" s="127" t="s">
        <v>474</v>
      </c>
      <c r="G209" s="140" t="s">
        <v>491</v>
      </c>
      <c r="H209" s="140"/>
      <c r="I209" s="140"/>
      <c r="J209" s="140" t="s">
        <v>1682</v>
      </c>
      <c r="K209" s="127" t="s">
        <v>1744</v>
      </c>
      <c r="L209" s="140" t="s">
        <v>1298</v>
      </c>
      <c r="M209" s="140" t="s">
        <v>1683</v>
      </c>
      <c r="N209" s="141">
        <v>16392</v>
      </c>
      <c r="O209" s="76">
        <f>VLOOKUP(N209,Uzcard!C:P,4,0)</f>
        <v>0</v>
      </c>
      <c r="P209" s="76">
        <f>VLOOKUP(N209,Uzcard!C:P,6,0)</f>
        <v>0</v>
      </c>
      <c r="Q209" s="76">
        <f>VLOOKUP(N209,Uzcard!C:P,8,0)</f>
        <v>0</v>
      </c>
      <c r="R209" s="76">
        <f>VLOOKUP(N209,Uzcard!C:P,10,0)</f>
        <v>0</v>
      </c>
      <c r="S209" s="76">
        <f>VLOOKUP(N209,Uzcard!C:P,12,0)</f>
        <v>0</v>
      </c>
      <c r="T209" s="76">
        <f>VLOOKUP(N209,Uzcard!C:P,14,0)</f>
        <v>0</v>
      </c>
      <c r="U209" s="172">
        <f>IFERROR(VLOOKUP(N209,'2026 iyul uzcard'!A:D,3,0),"0")/1000</f>
        <v>0</v>
      </c>
      <c r="V209" s="172"/>
      <c r="W209" s="172"/>
      <c r="X209" s="172"/>
      <c r="Y209" s="172"/>
      <c r="Z209" s="172"/>
      <c r="AA209" s="162">
        <f t="shared" si="6"/>
        <v>0</v>
      </c>
      <c r="AB209" s="162"/>
      <c r="AC209" s="162"/>
      <c r="AD209" s="142" t="s">
        <v>1745</v>
      </c>
      <c r="AE209" s="77">
        <v>106507213.69</v>
      </c>
    </row>
    <row r="210" spans="1:31">
      <c r="A210" s="71" t="s">
        <v>235</v>
      </c>
      <c r="B210" s="72" t="s">
        <v>1762</v>
      </c>
      <c r="C210" s="68" t="s">
        <v>16</v>
      </c>
      <c r="D210" s="140" t="s">
        <v>24</v>
      </c>
      <c r="E210" s="140" t="s">
        <v>381</v>
      </c>
      <c r="F210" s="127" t="s">
        <v>382</v>
      </c>
      <c r="G210" s="140" t="s">
        <v>491</v>
      </c>
      <c r="H210" s="140"/>
      <c r="I210" s="140"/>
      <c r="J210" s="140">
        <v>2019353</v>
      </c>
      <c r="K210" s="140" t="s">
        <v>1303</v>
      </c>
      <c r="L210" s="140" t="s">
        <v>1298</v>
      </c>
      <c r="M210" s="140" t="s">
        <v>1300</v>
      </c>
      <c r="N210" s="141" t="s">
        <v>1300</v>
      </c>
      <c r="O210" s="76">
        <f>IFERROR(VLOOKUP(N210,'2026 yanvar vash'!A:D,4,0),"0")/1000</f>
        <v>0</v>
      </c>
      <c r="P210" s="173">
        <f>IFERROR(VLOOKUP(N210,'2026 fevral vash'!A:D,4,0),"0")/1000</f>
        <v>0</v>
      </c>
      <c r="Q210" s="173">
        <f>IFERROR(VLOOKUP(N210,'2026 mart vash'!A:D,4,0),"0")/1000</f>
        <v>0</v>
      </c>
      <c r="R210" s="173">
        <f>IFERROR(VLOOKUP(N210,'2026 aprel vash'!A:D,4,0),"0")/1000</f>
        <v>0</v>
      </c>
      <c r="S210" s="173">
        <f>IFERROR(VLOOKUP(N210,'2026 may vash'!A:D,4,0),"0")/1000</f>
        <v>0</v>
      </c>
      <c r="T210" s="173">
        <f>IFERROR(VLOOKUP(N210,'2026 iyun vash'!A:D,4,0),"0")/1000</f>
        <v>0</v>
      </c>
      <c r="U210" s="173">
        <f>IFERROR(VLOOKUP(N210,'2026 iyul vash'!A:D,4,0),"0")/1000</f>
        <v>0</v>
      </c>
      <c r="V210" s="173"/>
      <c r="W210" s="173"/>
      <c r="X210" s="173"/>
      <c r="Y210" s="173"/>
      <c r="Z210" s="173"/>
      <c r="AA210" s="162">
        <f t="shared" si="6"/>
        <v>0</v>
      </c>
      <c r="AB210" s="162"/>
      <c r="AC210" s="162"/>
      <c r="AD210" s="142" t="s">
        <v>1710</v>
      </c>
      <c r="AE210" s="77">
        <v>216557286.44999999</v>
      </c>
    </row>
    <row r="211" spans="1:31">
      <c r="A211" s="71" t="s">
        <v>236</v>
      </c>
      <c r="B211" s="72" t="s">
        <v>1762</v>
      </c>
      <c r="C211" s="68" t="s">
        <v>16</v>
      </c>
      <c r="D211" s="140" t="s">
        <v>24</v>
      </c>
      <c r="E211" s="140" t="s">
        <v>381</v>
      </c>
      <c r="F211" s="127" t="s">
        <v>382</v>
      </c>
      <c r="G211" s="140" t="s">
        <v>491</v>
      </c>
      <c r="H211" s="140"/>
      <c r="I211" s="140"/>
      <c r="J211" s="140">
        <v>2519353</v>
      </c>
      <c r="K211" s="140" t="s">
        <v>1320</v>
      </c>
      <c r="L211" s="140" t="s">
        <v>1306</v>
      </c>
      <c r="M211" s="140" t="s">
        <v>1313</v>
      </c>
      <c r="N211" s="141" t="s">
        <v>1313</v>
      </c>
      <c r="O211" s="76">
        <f>IFERROR(VLOOKUP(N211,'2026 yanvar vash'!A:D,4,0),"0")/1000</f>
        <v>0</v>
      </c>
      <c r="P211" s="173">
        <f>IFERROR(VLOOKUP(N211,'2026 fevral vash'!A:D,4,0),"0")/1000</f>
        <v>0</v>
      </c>
      <c r="Q211" s="173">
        <f>IFERROR(VLOOKUP(N211,'2026 mart vash'!A:D,4,0),"0")/1000</f>
        <v>0</v>
      </c>
      <c r="R211" s="173">
        <f>IFERROR(VLOOKUP(N211,'2026 aprel vash'!A:D,4,0),"0")/1000</f>
        <v>0</v>
      </c>
      <c r="S211" s="173">
        <f>IFERROR(VLOOKUP(N211,'2026 may vash'!A:D,4,0),"0")/1000</f>
        <v>0</v>
      </c>
      <c r="T211" s="173">
        <f>IFERROR(VLOOKUP(N211,'2026 iyun vash'!A:D,4,0),"0")/1000</f>
        <v>0</v>
      </c>
      <c r="U211" s="173">
        <f>IFERROR(VLOOKUP(N211,'2026 iyul vash'!A:D,4,0),"0")/1000</f>
        <v>0</v>
      </c>
      <c r="V211" s="173"/>
      <c r="W211" s="173"/>
      <c r="X211" s="173"/>
      <c r="Y211" s="173"/>
      <c r="Z211" s="173"/>
      <c r="AA211" s="162">
        <f t="shared" si="6"/>
        <v>0</v>
      </c>
      <c r="AB211" s="162"/>
      <c r="AC211" s="162"/>
      <c r="AD211" s="142" t="s">
        <v>1552</v>
      </c>
      <c r="AE211" s="77">
        <v>216557286.44999999</v>
      </c>
    </row>
    <row r="212" spans="1:31">
      <c r="A212" s="71" t="s">
        <v>237</v>
      </c>
      <c r="B212" s="72" t="s">
        <v>1762</v>
      </c>
      <c r="C212" s="68" t="s">
        <v>16</v>
      </c>
      <c r="D212" s="140" t="s">
        <v>24</v>
      </c>
      <c r="E212" s="140" t="s">
        <v>364</v>
      </c>
      <c r="F212" s="127" t="s">
        <v>474</v>
      </c>
      <c r="G212" s="140" t="s">
        <v>491</v>
      </c>
      <c r="H212" s="140"/>
      <c r="I212" s="140"/>
      <c r="J212" s="90" t="s">
        <v>1689</v>
      </c>
      <c r="K212" s="140" t="s">
        <v>1321</v>
      </c>
      <c r="L212" s="140" t="s">
        <v>1306</v>
      </c>
      <c r="M212" s="140">
        <v>901118747</v>
      </c>
      <c r="N212" s="141">
        <v>19567</v>
      </c>
      <c r="O212" s="76">
        <f>VLOOKUP(N212,Uzcard!C:P,4,0)</f>
        <v>0</v>
      </c>
      <c r="P212" s="76">
        <f>VLOOKUP(N212,Uzcard!C:P,6,0)</f>
        <v>0</v>
      </c>
      <c r="Q212" s="76">
        <f>VLOOKUP(N212,Uzcard!C:P,8,0)</f>
        <v>0</v>
      </c>
      <c r="R212" s="76">
        <f>VLOOKUP(N212,Uzcard!C:P,10,0)</f>
        <v>0</v>
      </c>
      <c r="S212" s="76">
        <f>VLOOKUP(N212,Uzcard!C:P,12,0)</f>
        <v>0</v>
      </c>
      <c r="T212" s="76">
        <f>VLOOKUP(N212,Uzcard!C:P,14,0)</f>
        <v>0</v>
      </c>
      <c r="U212" s="172">
        <f>IFERROR(VLOOKUP(N212,'2026 iyul uzcard'!A:D,3,0),"0")/1000</f>
        <v>0</v>
      </c>
      <c r="V212" s="172"/>
      <c r="W212" s="172"/>
      <c r="X212" s="172"/>
      <c r="Y212" s="172"/>
      <c r="Z212" s="172"/>
      <c r="AA212" s="162">
        <f t="shared" si="6"/>
        <v>0</v>
      </c>
      <c r="AB212" s="162"/>
      <c r="AC212" s="162"/>
      <c r="AD212" s="142" t="s">
        <v>1736</v>
      </c>
      <c r="AE212" s="77">
        <v>108319139.8</v>
      </c>
    </row>
    <row r="213" spans="1:31">
      <c r="A213" s="71" t="s">
        <v>238</v>
      </c>
      <c r="B213" s="72" t="s">
        <v>1762</v>
      </c>
      <c r="C213" s="68" t="s">
        <v>16</v>
      </c>
      <c r="D213" s="140" t="s">
        <v>24</v>
      </c>
      <c r="E213" s="140" t="s">
        <v>370</v>
      </c>
      <c r="F213" s="127" t="s">
        <v>371</v>
      </c>
      <c r="G213" s="140" t="s">
        <v>522</v>
      </c>
      <c r="H213" s="140"/>
      <c r="I213" s="140"/>
      <c r="J213" s="188" t="s">
        <v>2179</v>
      </c>
      <c r="K213" s="127" t="s">
        <v>1691</v>
      </c>
      <c r="L213" s="140" t="s">
        <v>1307</v>
      </c>
      <c r="M213" s="140" t="s">
        <v>1330</v>
      </c>
      <c r="N213" s="141" t="s">
        <v>1314</v>
      </c>
      <c r="O213" s="76">
        <f>VLOOKUP(N213,Humo!C:P,4,0)</f>
        <v>0</v>
      </c>
      <c r="P213" s="77">
        <f>VLOOKUP(N213,Humo!C:P,6,0)</f>
        <v>0</v>
      </c>
      <c r="Q213" s="77">
        <f>VLOOKUP(N213,Humo!C:P,8,0)</f>
        <v>0</v>
      </c>
      <c r="R213" s="77">
        <f>VLOOKUP(N213,Humo!C:P,10,0)</f>
        <v>0</v>
      </c>
      <c r="S213" s="77">
        <f>VLOOKUP(N213,Humo!C:P,12,0)</f>
        <v>0</v>
      </c>
      <c r="T213" s="77">
        <f>VLOOKUP(N213,Humo!C:P,14,0)</f>
        <v>0</v>
      </c>
      <c r="U213" s="77">
        <f>IFERROR(VLOOKUP(N213,'2026 iyul humo'!A:D,4,0),"0")/1000</f>
        <v>0</v>
      </c>
      <c r="V213" s="77"/>
      <c r="W213" s="77"/>
      <c r="X213" s="77"/>
      <c r="Y213" s="77"/>
      <c r="Z213" s="77"/>
      <c r="AA213" s="162">
        <f t="shared" si="6"/>
        <v>0</v>
      </c>
      <c r="AB213" s="162"/>
      <c r="AC213" s="162"/>
      <c r="AD213" s="142" t="s">
        <v>1507</v>
      </c>
      <c r="AE213" s="77">
        <v>62805331</v>
      </c>
    </row>
    <row r="214" spans="1:31">
      <c r="A214" s="71" t="s">
        <v>239</v>
      </c>
      <c r="B214" s="72" t="s">
        <v>1762</v>
      </c>
      <c r="C214" s="68" t="s">
        <v>16</v>
      </c>
      <c r="D214" s="140" t="s">
        <v>24</v>
      </c>
      <c r="E214" s="140" t="s">
        <v>370</v>
      </c>
      <c r="F214" s="127" t="s">
        <v>371</v>
      </c>
      <c r="G214" s="140" t="s">
        <v>522</v>
      </c>
      <c r="H214" s="120" t="s">
        <v>1773</v>
      </c>
      <c r="I214" s="67">
        <v>1848</v>
      </c>
      <c r="J214" s="145" t="s">
        <v>1779</v>
      </c>
      <c r="K214" s="127" t="s">
        <v>1164</v>
      </c>
      <c r="L214" s="140" t="s">
        <v>1307</v>
      </c>
      <c r="M214" s="140" t="s">
        <v>1473</v>
      </c>
      <c r="N214" s="141" t="s">
        <v>1315</v>
      </c>
      <c r="O214" s="76">
        <f>VLOOKUP(N214,Humo!C:P,4,0)</f>
        <v>0</v>
      </c>
      <c r="P214" s="77">
        <f>VLOOKUP(N214,Humo!C:P,6,0)</f>
        <v>0</v>
      </c>
      <c r="Q214" s="77">
        <f>VLOOKUP(N214,Humo!C:P,8,0)</f>
        <v>0</v>
      </c>
      <c r="R214" s="77">
        <f>VLOOKUP(N214,Humo!C:P,10,0)</f>
        <v>0</v>
      </c>
      <c r="S214" s="77">
        <f>VLOOKUP(N214,Humo!C:P,12,0)</f>
        <v>0</v>
      </c>
      <c r="T214" s="77">
        <f>VLOOKUP(N214,Humo!C:P,14,0)</f>
        <v>0</v>
      </c>
      <c r="U214" s="77">
        <f>IFERROR(VLOOKUP(N214,'2026 iyul humo'!A:D,4,0),"0")/1000</f>
        <v>0</v>
      </c>
      <c r="V214" s="77"/>
      <c r="W214" s="77"/>
      <c r="X214" s="77"/>
      <c r="Y214" s="77"/>
      <c r="Z214" s="77"/>
      <c r="AA214" s="162">
        <f t="shared" si="6"/>
        <v>0</v>
      </c>
      <c r="AB214" s="162"/>
      <c r="AC214" s="162"/>
      <c r="AD214" s="142" t="s">
        <v>1552</v>
      </c>
      <c r="AE214" s="77">
        <v>63098415.920000002</v>
      </c>
    </row>
    <row r="215" spans="1:31">
      <c r="A215" s="71" t="s">
        <v>240</v>
      </c>
      <c r="B215" s="72" t="s">
        <v>1762</v>
      </c>
      <c r="C215" s="68" t="s">
        <v>16</v>
      </c>
      <c r="D215" s="140" t="s">
        <v>24</v>
      </c>
      <c r="E215" s="140" t="s">
        <v>364</v>
      </c>
      <c r="F215" s="127" t="s">
        <v>474</v>
      </c>
      <c r="G215" s="140" t="s">
        <v>491</v>
      </c>
      <c r="H215" s="140"/>
      <c r="I215" s="140"/>
      <c r="J215" s="127" t="s">
        <v>1689</v>
      </c>
      <c r="K215" s="140" t="s">
        <v>1322</v>
      </c>
      <c r="L215" s="140" t="s">
        <v>1308</v>
      </c>
      <c r="M215" s="140">
        <v>90110027301</v>
      </c>
      <c r="N215" s="141">
        <v>28407</v>
      </c>
      <c r="O215" s="76">
        <f>VLOOKUP(N215,Uzcard!C:P,4,0)</f>
        <v>0</v>
      </c>
      <c r="P215" s="76">
        <f>VLOOKUP(N215,Uzcard!C:P,6,0)</f>
        <v>0</v>
      </c>
      <c r="Q215" s="76">
        <f>VLOOKUP(N215,Uzcard!C:P,8,0)</f>
        <v>0</v>
      </c>
      <c r="R215" s="76">
        <f>VLOOKUP(N215,Uzcard!C:P,10,0)</f>
        <v>0</v>
      </c>
      <c r="S215" s="76">
        <f>VLOOKUP(N215,Uzcard!C:P,12,0)</f>
        <v>0</v>
      </c>
      <c r="T215" s="76">
        <f>VLOOKUP(N215,Uzcard!C:P,14,0)</f>
        <v>0</v>
      </c>
      <c r="U215" s="172">
        <f>IFERROR(VLOOKUP(N215,'2026 iyul uzcard'!A:D,3,0),"0")/1000</f>
        <v>0</v>
      </c>
      <c r="V215" s="172"/>
      <c r="W215" s="172"/>
      <c r="X215" s="172"/>
      <c r="Y215" s="172"/>
      <c r="Z215" s="172"/>
      <c r="AA215" s="162">
        <f t="shared" si="6"/>
        <v>0</v>
      </c>
      <c r="AB215" s="162"/>
      <c r="AC215" s="162"/>
      <c r="AD215" s="142" t="s">
        <v>1574</v>
      </c>
      <c r="AE215" s="77">
        <v>108319139.8</v>
      </c>
    </row>
    <row r="216" spans="1:31">
      <c r="A216" s="71" t="s">
        <v>241</v>
      </c>
      <c r="B216" s="72" t="s">
        <v>1762</v>
      </c>
      <c r="C216" s="68" t="s">
        <v>16</v>
      </c>
      <c r="D216" s="140" t="s">
        <v>24</v>
      </c>
      <c r="E216" s="140" t="s">
        <v>370</v>
      </c>
      <c r="F216" s="127" t="s">
        <v>371</v>
      </c>
      <c r="G216" s="140" t="s">
        <v>522</v>
      </c>
      <c r="H216" s="140"/>
      <c r="I216" s="140"/>
      <c r="J216" s="140">
        <v>5310182778</v>
      </c>
      <c r="K216" s="140" t="s">
        <v>529</v>
      </c>
      <c r="L216" s="140" t="s">
        <v>1307</v>
      </c>
      <c r="M216" s="140" t="s">
        <v>1275</v>
      </c>
      <c r="N216" s="141" t="s">
        <v>1274</v>
      </c>
      <c r="O216" s="76">
        <f>VLOOKUP(N216,Humo!C:P,4,0)</f>
        <v>383.3</v>
      </c>
      <c r="P216" s="77">
        <f>VLOOKUP(N216,Humo!C:P,6,0)</f>
        <v>585.1</v>
      </c>
      <c r="Q216" s="77">
        <f>VLOOKUP(N216,Humo!C:P,8,0)</f>
        <v>655.6</v>
      </c>
      <c r="R216" s="77">
        <f>VLOOKUP(N216,Humo!C:P,10,0)</f>
        <v>270.10000000000002</v>
      </c>
      <c r="S216" s="77">
        <f>VLOOKUP(N216,Humo!C:P,12,0)</f>
        <v>0</v>
      </c>
      <c r="T216" s="77">
        <f>VLOOKUP(N216,Humo!C:P,14,0)</f>
        <v>0</v>
      </c>
      <c r="U216" s="77">
        <f>IFERROR(VLOOKUP(N216,'2026 iyul humo'!A:D,4,0),"0")/1000</f>
        <v>0</v>
      </c>
      <c r="V216" s="77"/>
      <c r="W216" s="77"/>
      <c r="X216" s="77"/>
      <c r="Y216" s="77"/>
      <c r="Z216" s="77"/>
      <c r="AA216" s="162">
        <f t="shared" si="6"/>
        <v>1894.1</v>
      </c>
      <c r="AB216" s="162"/>
      <c r="AC216" s="162"/>
      <c r="AD216" s="142" t="s">
        <v>1527</v>
      </c>
      <c r="AE216" s="77">
        <v>62805331</v>
      </c>
    </row>
    <row r="217" spans="1:31">
      <c r="A217" s="71" t="s">
        <v>242</v>
      </c>
      <c r="B217" s="72" t="s">
        <v>1762</v>
      </c>
      <c r="C217" s="68" t="s">
        <v>16</v>
      </c>
      <c r="D217" s="140" t="s">
        <v>24</v>
      </c>
      <c r="E217" s="140" t="s">
        <v>364</v>
      </c>
      <c r="F217" s="127" t="s">
        <v>474</v>
      </c>
      <c r="G217" s="140" t="s">
        <v>491</v>
      </c>
      <c r="H217" s="140"/>
      <c r="I217" s="140"/>
      <c r="J217" s="140" t="s">
        <v>1270</v>
      </c>
      <c r="K217" s="140" t="s">
        <v>1271</v>
      </c>
      <c r="L217" s="140" t="s">
        <v>1684</v>
      </c>
      <c r="M217" s="140">
        <v>901114175</v>
      </c>
      <c r="N217" s="141">
        <v>14974</v>
      </c>
      <c r="O217" s="76">
        <f>VLOOKUP(N217,Uzcard!C:P,4,0)</f>
        <v>3302.5</v>
      </c>
      <c r="P217" s="76">
        <f>VLOOKUP(N217,Uzcard!C:P,6,0)</f>
        <v>2583.35</v>
      </c>
      <c r="Q217" s="76">
        <f>VLOOKUP(N217,Uzcard!C:P,8,0)</f>
        <v>3181.55</v>
      </c>
      <c r="R217" s="76">
        <f>VLOOKUP(N217,Uzcard!C:P,10,0)</f>
        <v>2282.4</v>
      </c>
      <c r="S217" s="76">
        <f>VLOOKUP(N217,Uzcard!C:P,12,0)</f>
        <v>0</v>
      </c>
      <c r="T217" s="76">
        <f>VLOOKUP(N217,Uzcard!C:P,14,0)</f>
        <v>0</v>
      </c>
      <c r="U217" s="172">
        <f>IFERROR(VLOOKUP(N217,'2026 iyul uzcard'!A:D,3,0),"0")/1000</f>
        <v>0</v>
      </c>
      <c r="V217" s="172"/>
      <c r="W217" s="172"/>
      <c r="X217" s="172"/>
      <c r="Y217" s="172"/>
      <c r="Z217" s="172"/>
      <c r="AA217" s="162">
        <f t="shared" si="6"/>
        <v>11349.800000000001</v>
      </c>
      <c r="AB217" s="162"/>
      <c r="AC217" s="162"/>
      <c r="AD217" s="142" t="s">
        <v>1720</v>
      </c>
      <c r="AE217" s="77">
        <v>108319139.8</v>
      </c>
    </row>
    <row r="218" spans="1:31">
      <c r="A218" s="71" t="s">
        <v>243</v>
      </c>
      <c r="B218" s="72" t="s">
        <v>1762</v>
      </c>
      <c r="C218" s="68" t="s">
        <v>16</v>
      </c>
      <c r="D218" s="140" t="s">
        <v>24</v>
      </c>
      <c r="E218" s="140" t="s">
        <v>364</v>
      </c>
      <c r="F218" s="127" t="s">
        <v>474</v>
      </c>
      <c r="G218" s="140" t="s">
        <v>491</v>
      </c>
      <c r="H218" s="140"/>
      <c r="I218" s="140"/>
      <c r="J218" s="127" t="s">
        <v>1689</v>
      </c>
      <c r="K218" s="140" t="s">
        <v>1323</v>
      </c>
      <c r="L218" s="140" t="s">
        <v>1309</v>
      </c>
      <c r="M218" s="140">
        <v>901117254</v>
      </c>
      <c r="N218" s="141">
        <v>18060</v>
      </c>
      <c r="O218" s="76">
        <f>VLOOKUP(N218,Uzcard!C:P,4,0)</f>
        <v>0</v>
      </c>
      <c r="P218" s="76">
        <f>VLOOKUP(N218,Uzcard!C:P,6,0)</f>
        <v>0</v>
      </c>
      <c r="Q218" s="76">
        <f>VLOOKUP(N218,Uzcard!C:P,8,0)</f>
        <v>0</v>
      </c>
      <c r="R218" s="76">
        <f>VLOOKUP(N218,Uzcard!C:P,10,0)</f>
        <v>0</v>
      </c>
      <c r="S218" s="76">
        <f>VLOOKUP(N218,Uzcard!C:P,12,0)</f>
        <v>0</v>
      </c>
      <c r="T218" s="76">
        <f>VLOOKUP(N218,Uzcard!C:P,14,0)</f>
        <v>0</v>
      </c>
      <c r="U218" s="172">
        <f>IFERROR(VLOOKUP(N218,'2026 iyul uzcard'!A:D,3,0),"0")/1000</f>
        <v>0</v>
      </c>
      <c r="V218" s="172"/>
      <c r="W218" s="172"/>
      <c r="X218" s="172"/>
      <c r="Y218" s="172"/>
      <c r="Z218" s="172"/>
      <c r="AA218" s="162">
        <f t="shared" si="6"/>
        <v>0</v>
      </c>
      <c r="AB218" s="162"/>
      <c r="AC218" s="162"/>
      <c r="AD218" s="142" t="s">
        <v>1529</v>
      </c>
      <c r="AE218" s="77">
        <v>100458192.72</v>
      </c>
    </row>
    <row r="219" spans="1:31">
      <c r="A219" s="71" t="s">
        <v>244</v>
      </c>
      <c r="B219" s="72" t="s">
        <v>1762</v>
      </c>
      <c r="C219" s="68" t="s">
        <v>16</v>
      </c>
      <c r="D219" s="140" t="s">
        <v>24</v>
      </c>
      <c r="E219" s="140" t="s">
        <v>370</v>
      </c>
      <c r="F219" s="127" t="s">
        <v>371</v>
      </c>
      <c r="G219" s="140" t="s">
        <v>522</v>
      </c>
      <c r="H219" s="140"/>
      <c r="I219" s="140"/>
      <c r="J219" s="127" t="s">
        <v>1689</v>
      </c>
      <c r="K219" s="140" t="s">
        <v>1690</v>
      </c>
      <c r="L219" s="140" t="s">
        <v>1307</v>
      </c>
      <c r="M219" s="140" t="s">
        <v>1331</v>
      </c>
      <c r="N219" s="141" t="s">
        <v>1316</v>
      </c>
      <c r="O219" s="76">
        <f>VLOOKUP(N219,Humo!C:P,4,0)</f>
        <v>0</v>
      </c>
      <c r="P219" s="77">
        <f>VLOOKUP(N219,Humo!C:P,6,0)</f>
        <v>0</v>
      </c>
      <c r="Q219" s="77">
        <f>VLOOKUP(N219,Humo!C:P,8,0)</f>
        <v>0</v>
      </c>
      <c r="R219" s="77">
        <f>VLOOKUP(N219,Humo!C:P,10,0)</f>
        <v>0</v>
      </c>
      <c r="S219" s="77">
        <f>VLOOKUP(N219,Humo!C:P,12,0)</f>
        <v>0</v>
      </c>
      <c r="T219" s="77">
        <f>VLOOKUP(N219,Humo!C:P,14,0)</f>
        <v>0</v>
      </c>
      <c r="U219" s="77">
        <f>IFERROR(VLOOKUP(N219,'2026 iyul humo'!A:D,4,0),"0")/1000</f>
        <v>0</v>
      </c>
      <c r="V219" s="77"/>
      <c r="W219" s="77"/>
      <c r="X219" s="77"/>
      <c r="Y219" s="77"/>
      <c r="Z219" s="77"/>
      <c r="AA219" s="162">
        <f t="shared" si="6"/>
        <v>0</v>
      </c>
      <c r="AB219" s="162"/>
      <c r="AC219" s="162"/>
      <c r="AD219" s="142" t="s">
        <v>1507</v>
      </c>
      <c r="AE219" s="77">
        <v>62805331</v>
      </c>
    </row>
    <row r="220" spans="1:31">
      <c r="A220" s="71" t="s">
        <v>245</v>
      </c>
      <c r="B220" s="72" t="s">
        <v>1762</v>
      </c>
      <c r="C220" s="68" t="s">
        <v>16</v>
      </c>
      <c r="D220" s="140" t="s">
        <v>24</v>
      </c>
      <c r="E220" s="140" t="s">
        <v>364</v>
      </c>
      <c r="F220" s="127" t="s">
        <v>474</v>
      </c>
      <c r="G220" s="140" t="s">
        <v>491</v>
      </c>
      <c r="H220" s="140"/>
      <c r="I220" s="140"/>
      <c r="J220" s="127" t="s">
        <v>1689</v>
      </c>
      <c r="K220" s="127" t="s">
        <v>1239</v>
      </c>
      <c r="L220" s="140" t="s">
        <v>1310</v>
      </c>
      <c r="M220" s="140">
        <v>901112898</v>
      </c>
      <c r="N220" s="141">
        <v>13664</v>
      </c>
      <c r="O220" s="76">
        <f>VLOOKUP(N220,Uzcard!C:P,4,0)</f>
        <v>0</v>
      </c>
      <c r="P220" s="76">
        <f>VLOOKUP(N220,Uzcard!C:P,6,0)</f>
        <v>0</v>
      </c>
      <c r="Q220" s="76">
        <f>VLOOKUP(N220,Uzcard!C:P,8,0)</f>
        <v>0</v>
      </c>
      <c r="R220" s="76">
        <f>VLOOKUP(N220,Uzcard!C:P,10,0)</f>
        <v>0</v>
      </c>
      <c r="S220" s="76">
        <f>VLOOKUP(N220,Uzcard!C:P,12,0)</f>
        <v>0</v>
      </c>
      <c r="T220" s="76">
        <f>VLOOKUP(N220,Uzcard!C:P,14,0)</f>
        <v>0</v>
      </c>
      <c r="U220" s="172">
        <f>IFERROR(VLOOKUP(N220,'2026 iyul uzcard'!A:D,3,0),"0")/1000</f>
        <v>0</v>
      </c>
      <c r="V220" s="172"/>
      <c r="W220" s="172"/>
      <c r="X220" s="172"/>
      <c r="Y220" s="172"/>
      <c r="Z220" s="172"/>
      <c r="AA220" s="162">
        <f t="shared" si="6"/>
        <v>0</v>
      </c>
      <c r="AB220" s="162"/>
      <c r="AC220" s="162"/>
      <c r="AD220" s="142" t="s">
        <v>1743</v>
      </c>
      <c r="AE220" s="77">
        <v>106507213.69</v>
      </c>
    </row>
    <row r="221" spans="1:31">
      <c r="A221" s="71" t="s">
        <v>246</v>
      </c>
      <c r="B221" s="72" t="s">
        <v>1762</v>
      </c>
      <c r="C221" s="68" t="s">
        <v>16</v>
      </c>
      <c r="D221" s="140" t="s">
        <v>24</v>
      </c>
      <c r="E221" s="140" t="s">
        <v>364</v>
      </c>
      <c r="F221" s="127" t="s">
        <v>474</v>
      </c>
      <c r="G221" s="140" t="s">
        <v>491</v>
      </c>
      <c r="H221" s="140"/>
      <c r="I221" s="140"/>
      <c r="J221" s="127" t="s">
        <v>1689</v>
      </c>
      <c r="K221" s="127" t="s">
        <v>1186</v>
      </c>
      <c r="L221" s="140" t="s">
        <v>1311</v>
      </c>
      <c r="M221" s="140">
        <v>901114203</v>
      </c>
      <c r="N221" s="141">
        <v>15001</v>
      </c>
      <c r="O221" s="76">
        <f>VLOOKUP(N221,Uzcard!C:P,4,0)</f>
        <v>0</v>
      </c>
      <c r="P221" s="76">
        <f>VLOOKUP(N221,Uzcard!C:P,6,0)</f>
        <v>0</v>
      </c>
      <c r="Q221" s="76">
        <f>VLOOKUP(N221,Uzcard!C:P,8,0)</f>
        <v>0</v>
      </c>
      <c r="R221" s="76">
        <f>VLOOKUP(N221,Uzcard!C:P,10,0)</f>
        <v>0</v>
      </c>
      <c r="S221" s="76">
        <f>VLOOKUP(N221,Uzcard!C:P,12,0)</f>
        <v>0</v>
      </c>
      <c r="T221" s="76">
        <f>VLOOKUP(N221,Uzcard!C:P,14,0)</f>
        <v>0</v>
      </c>
      <c r="U221" s="172">
        <f>IFERROR(VLOOKUP(N221,'2026 iyul uzcard'!A:D,3,0),"0")/1000</f>
        <v>0</v>
      </c>
      <c r="V221" s="172"/>
      <c r="W221" s="172"/>
      <c r="X221" s="172"/>
      <c r="Y221" s="172"/>
      <c r="Z221" s="172"/>
      <c r="AA221" s="162">
        <f t="shared" si="6"/>
        <v>0</v>
      </c>
      <c r="AB221" s="162"/>
      <c r="AC221" s="162"/>
      <c r="AD221" s="142" t="s">
        <v>1736</v>
      </c>
      <c r="AE221" s="77">
        <v>108319139.8</v>
      </c>
    </row>
    <row r="222" spans="1:31">
      <c r="A222" s="71" t="s">
        <v>247</v>
      </c>
      <c r="B222" s="72" t="s">
        <v>1762</v>
      </c>
      <c r="C222" s="68" t="s">
        <v>16</v>
      </c>
      <c r="D222" s="140" t="s">
        <v>24</v>
      </c>
      <c r="E222" s="140" t="s">
        <v>381</v>
      </c>
      <c r="F222" s="127" t="s">
        <v>382</v>
      </c>
      <c r="G222" s="140" t="s">
        <v>491</v>
      </c>
      <c r="H222" s="140"/>
      <c r="I222" s="140"/>
      <c r="J222" s="140">
        <v>719339</v>
      </c>
      <c r="K222" s="140" t="s">
        <v>1733</v>
      </c>
      <c r="L222" s="140" t="s">
        <v>1307</v>
      </c>
      <c r="M222" s="140" t="s">
        <v>1456</v>
      </c>
      <c r="N222" s="141" t="s">
        <v>1456</v>
      </c>
      <c r="O222" s="76">
        <f>IFERROR(VLOOKUP(N222,'2026 yanvar vash'!A:D,4,0),"0")/1000</f>
        <v>0</v>
      </c>
      <c r="P222" s="173">
        <f>IFERROR(VLOOKUP(N222,'2026 fevral vash'!A:D,4,0),"0")/1000</f>
        <v>0</v>
      </c>
      <c r="Q222" s="173">
        <f>IFERROR(VLOOKUP(N222,'2026 mart vash'!A:D,4,0),"0")/1000</f>
        <v>0</v>
      </c>
      <c r="R222" s="173">
        <f>IFERROR(VLOOKUP(N222,'2026 aprel vash'!A:D,4,0),"0")/1000</f>
        <v>0</v>
      </c>
      <c r="S222" s="173">
        <f>IFERROR(VLOOKUP(N222,'2026 may vash'!A:D,4,0),"0")/1000</f>
        <v>0</v>
      </c>
      <c r="T222" s="173">
        <f>IFERROR(VLOOKUP(N222,'2026 iyun vash'!A:D,4,0),"0")/1000</f>
        <v>0</v>
      </c>
      <c r="U222" s="173">
        <f>IFERROR(VLOOKUP(N222,'2026 iyul vash'!A:D,4,0),"0")/1000</f>
        <v>0</v>
      </c>
      <c r="V222" s="173"/>
      <c r="W222" s="173"/>
      <c r="X222" s="173"/>
      <c r="Y222" s="173"/>
      <c r="Z222" s="173"/>
      <c r="AA222" s="162">
        <f t="shared" si="6"/>
        <v>0</v>
      </c>
      <c r="AB222" s="162"/>
      <c r="AC222" s="162"/>
      <c r="AD222" s="142" t="s">
        <v>1506</v>
      </c>
      <c r="AE222" s="77">
        <v>216557286.44999999</v>
      </c>
    </row>
    <row r="223" spans="1:31">
      <c r="A223" s="71" t="s">
        <v>248</v>
      </c>
      <c r="B223" s="72" t="s">
        <v>1762</v>
      </c>
      <c r="C223" s="68" t="s">
        <v>16</v>
      </c>
      <c r="D223" s="140" t="s">
        <v>24</v>
      </c>
      <c r="E223" s="140" t="s">
        <v>364</v>
      </c>
      <c r="F223" s="127" t="s">
        <v>474</v>
      </c>
      <c r="G223" s="140" t="s">
        <v>491</v>
      </c>
      <c r="H223" s="140"/>
      <c r="I223" s="140"/>
      <c r="J223" s="140" t="s">
        <v>1658</v>
      </c>
      <c r="K223" s="127" t="s">
        <v>1705</v>
      </c>
      <c r="L223" s="140" t="s">
        <v>1307</v>
      </c>
      <c r="M223" s="140">
        <v>901118477</v>
      </c>
      <c r="N223" s="141">
        <v>19292</v>
      </c>
      <c r="O223" s="76">
        <f>VLOOKUP(N223,Uzcard!C:P,4,0)</f>
        <v>0</v>
      </c>
      <c r="P223" s="76">
        <f>VLOOKUP(N223,Uzcard!C:P,6,0)</f>
        <v>0</v>
      </c>
      <c r="Q223" s="76">
        <f>VLOOKUP(N223,Uzcard!C:P,8,0)</f>
        <v>0</v>
      </c>
      <c r="R223" s="76">
        <f>VLOOKUP(N223,Uzcard!C:P,10,0)</f>
        <v>0</v>
      </c>
      <c r="S223" s="76">
        <f>VLOOKUP(N223,Uzcard!C:P,12,0)</f>
        <v>0</v>
      </c>
      <c r="T223" s="76">
        <f>VLOOKUP(N223,Uzcard!C:P,14,0)</f>
        <v>0</v>
      </c>
      <c r="U223" s="172">
        <f>IFERROR(VLOOKUP(N223,'2026 iyul uzcard'!A:D,3,0),"0")/1000</f>
        <v>0</v>
      </c>
      <c r="V223" s="172"/>
      <c r="W223" s="172"/>
      <c r="X223" s="172"/>
      <c r="Y223" s="172"/>
      <c r="Z223" s="172"/>
      <c r="AA223" s="162">
        <f t="shared" si="6"/>
        <v>0</v>
      </c>
      <c r="AB223" s="162"/>
      <c r="AC223" s="162"/>
      <c r="AD223" s="142" t="s">
        <v>1529</v>
      </c>
      <c r="AE223" s="77">
        <v>100458192.72</v>
      </c>
    </row>
    <row r="224" spans="1:31">
      <c r="A224" s="71" t="s">
        <v>249</v>
      </c>
      <c r="B224" s="72" t="s">
        <v>1762</v>
      </c>
      <c r="C224" s="68" t="s">
        <v>16</v>
      </c>
      <c r="D224" s="140" t="s">
        <v>24</v>
      </c>
      <c r="E224" s="140" t="s">
        <v>381</v>
      </c>
      <c r="F224" s="127" t="s">
        <v>382</v>
      </c>
      <c r="G224" s="140" t="s">
        <v>491</v>
      </c>
      <c r="H224" s="140"/>
      <c r="I224" s="140"/>
      <c r="J224" s="140" t="s">
        <v>1455</v>
      </c>
      <c r="K224" s="140" t="s">
        <v>1325</v>
      </c>
      <c r="L224" s="140" t="s">
        <v>1197</v>
      </c>
      <c r="M224" s="140" t="s">
        <v>1317</v>
      </c>
      <c r="N224" s="141" t="s">
        <v>1317</v>
      </c>
      <c r="O224" s="76">
        <f>IFERROR(VLOOKUP(N224,'2026 yanvar vash'!A:D,4,0),"0")/1000</f>
        <v>0</v>
      </c>
      <c r="P224" s="173">
        <f>IFERROR(VLOOKUP(N224,'2026 fevral vash'!A:D,4,0),"0")/1000</f>
        <v>0</v>
      </c>
      <c r="Q224" s="173">
        <f>IFERROR(VLOOKUP(N224,'2026 mart vash'!A:D,4,0),"0")/1000</f>
        <v>0</v>
      </c>
      <c r="R224" s="173">
        <f>IFERROR(VLOOKUP(N224,'2026 aprel vash'!A:D,4,0),"0")/1000</f>
        <v>0</v>
      </c>
      <c r="S224" s="173">
        <f>IFERROR(VLOOKUP(N224,'2026 may vash'!A:D,4,0),"0")/1000</f>
        <v>0</v>
      </c>
      <c r="T224" s="173">
        <f>IFERROR(VLOOKUP(N224,'2026 iyun vash'!A:D,4,0),"0")/1000</f>
        <v>0</v>
      </c>
      <c r="U224" s="173">
        <f>IFERROR(VLOOKUP(N224,'2026 iyul vash'!A:D,4,0),"0")/1000</f>
        <v>0</v>
      </c>
      <c r="V224" s="173"/>
      <c r="W224" s="173"/>
      <c r="X224" s="173"/>
      <c r="Y224" s="173"/>
      <c r="Z224" s="173"/>
      <c r="AA224" s="162">
        <f t="shared" si="6"/>
        <v>0</v>
      </c>
      <c r="AB224" s="162"/>
      <c r="AC224" s="162"/>
      <c r="AD224" s="142" t="s">
        <v>1711</v>
      </c>
      <c r="AE224" s="77">
        <v>216557286.44999999</v>
      </c>
    </row>
    <row r="225" spans="1:31">
      <c r="A225" s="71" t="s">
        <v>250</v>
      </c>
      <c r="B225" s="72" t="s">
        <v>1762</v>
      </c>
      <c r="C225" s="68" t="s">
        <v>16</v>
      </c>
      <c r="D225" s="140" t="s">
        <v>24</v>
      </c>
      <c r="E225" s="140" t="s">
        <v>381</v>
      </c>
      <c r="F225" s="127" t="s">
        <v>382</v>
      </c>
      <c r="G225" s="140" t="s">
        <v>491</v>
      </c>
      <c r="H225" s="140"/>
      <c r="I225" s="140"/>
      <c r="J225" s="140">
        <v>1219353</v>
      </c>
      <c r="K225" s="140" t="s">
        <v>1327</v>
      </c>
      <c r="L225" s="140" t="s">
        <v>1312</v>
      </c>
      <c r="M225" s="140" t="s">
        <v>1318</v>
      </c>
      <c r="N225" s="141" t="s">
        <v>1318</v>
      </c>
      <c r="O225" s="76">
        <f>IFERROR(VLOOKUP(N225,'2026 yanvar vash'!A:D,4,0),"0")/1000</f>
        <v>0</v>
      </c>
      <c r="P225" s="173">
        <f>IFERROR(VLOOKUP(N225,'2026 fevral vash'!A:D,4,0),"0")/1000</f>
        <v>0</v>
      </c>
      <c r="Q225" s="173">
        <f>IFERROR(VLOOKUP(N225,'2026 mart vash'!A:D,4,0),"0")/1000</f>
        <v>0</v>
      </c>
      <c r="R225" s="173">
        <f>IFERROR(VLOOKUP(N225,'2026 aprel vash'!A:D,4,0),"0")/1000</f>
        <v>0</v>
      </c>
      <c r="S225" s="173">
        <f>IFERROR(VLOOKUP(N225,'2026 may vash'!A:D,4,0),"0")/1000</f>
        <v>0</v>
      </c>
      <c r="T225" s="173">
        <f>IFERROR(VLOOKUP(N225,'2026 iyun vash'!A:D,4,0),"0")/1000</f>
        <v>0</v>
      </c>
      <c r="U225" s="173">
        <f>IFERROR(VLOOKUP(N225,'2026 iyul vash'!A:D,4,0),"0")/1000</f>
        <v>0</v>
      </c>
      <c r="V225" s="173"/>
      <c r="W225" s="173"/>
      <c r="X225" s="173"/>
      <c r="Y225" s="173"/>
      <c r="Z225" s="173"/>
      <c r="AA225" s="162">
        <f t="shared" si="6"/>
        <v>0</v>
      </c>
      <c r="AB225" s="162"/>
      <c r="AC225" s="162"/>
      <c r="AD225" s="142" t="s">
        <v>1506</v>
      </c>
      <c r="AE225" s="77">
        <v>216557286.44999999</v>
      </c>
    </row>
    <row r="226" spans="1:31">
      <c r="A226" s="71" t="s">
        <v>251</v>
      </c>
      <c r="B226" s="72" t="s">
        <v>1762</v>
      </c>
      <c r="C226" s="68" t="s">
        <v>16</v>
      </c>
      <c r="D226" s="140" t="s">
        <v>24</v>
      </c>
      <c r="E226" s="140" t="s">
        <v>381</v>
      </c>
      <c r="F226" s="127" t="s">
        <v>382</v>
      </c>
      <c r="G226" s="140" t="s">
        <v>491</v>
      </c>
      <c r="H226" s="140"/>
      <c r="I226" s="140"/>
      <c r="J226" s="140">
        <v>2319353</v>
      </c>
      <c r="K226" s="140" t="s">
        <v>1328</v>
      </c>
      <c r="L226" s="140" t="s">
        <v>1236</v>
      </c>
      <c r="M226" s="140" t="s">
        <v>1319</v>
      </c>
      <c r="N226" s="141" t="s">
        <v>1319</v>
      </c>
      <c r="O226" s="76">
        <f>IFERROR(VLOOKUP(N226,'2026 yanvar vash'!A:D,4,0),"0")/1000</f>
        <v>8</v>
      </c>
      <c r="P226" s="173">
        <f>IFERROR(VLOOKUP(N226,'2026 fevral vash'!A:D,4,0),"0")/1000</f>
        <v>1</v>
      </c>
      <c r="Q226" s="173">
        <f>IFERROR(VLOOKUP(N226,'2026 mart vash'!A:D,4,0),"0")/1000</f>
        <v>0</v>
      </c>
      <c r="R226" s="173">
        <f>IFERROR(VLOOKUP(N226,'2026 aprel vash'!A:D,4,0),"0")/1000</f>
        <v>0.9</v>
      </c>
      <c r="S226" s="173">
        <f>IFERROR(VLOOKUP(N226,'2026 may vash'!A:D,4,0),"0")/1000</f>
        <v>0.01</v>
      </c>
      <c r="T226" s="173">
        <f>IFERROR(VLOOKUP(N226,'2026 iyun vash'!A:D,4,0),"0")/1000</f>
        <v>0</v>
      </c>
      <c r="U226" s="173">
        <f>IFERROR(VLOOKUP(N226,'2026 iyul vash'!A:D,4,0),"0")/1000</f>
        <v>0</v>
      </c>
      <c r="V226" s="173"/>
      <c r="W226" s="173"/>
      <c r="X226" s="173"/>
      <c r="Y226" s="173"/>
      <c r="Z226" s="173"/>
      <c r="AA226" s="162">
        <f t="shared" si="6"/>
        <v>9.91</v>
      </c>
      <c r="AB226" s="162"/>
      <c r="AC226" s="162"/>
      <c r="AD226" s="142" t="s">
        <v>1552</v>
      </c>
      <c r="AE226" s="77">
        <v>216557286.44999999</v>
      </c>
    </row>
    <row r="227" spans="1:31">
      <c r="A227" s="71" t="s">
        <v>252</v>
      </c>
      <c r="B227" s="72" t="s">
        <v>1762</v>
      </c>
      <c r="C227" s="68" t="s">
        <v>16</v>
      </c>
      <c r="D227" s="140" t="s">
        <v>24</v>
      </c>
      <c r="E227" s="140" t="s">
        <v>381</v>
      </c>
      <c r="F227" s="127" t="s">
        <v>382</v>
      </c>
      <c r="G227" s="140" t="s">
        <v>491</v>
      </c>
      <c r="H227" s="140"/>
      <c r="I227" s="140"/>
      <c r="J227" s="140">
        <v>2719353</v>
      </c>
      <c r="K227" s="140" t="s">
        <v>1165</v>
      </c>
      <c r="L227" s="140" t="s">
        <v>1166</v>
      </c>
      <c r="M227" s="140" t="s">
        <v>1168</v>
      </c>
      <c r="N227" s="141" t="s">
        <v>1168</v>
      </c>
      <c r="O227" s="76">
        <f>IFERROR(VLOOKUP(N227,'2026 yanvar vash'!A:D,4,0),"0")/1000</f>
        <v>158.6</v>
      </c>
      <c r="P227" s="173">
        <f>IFERROR(VLOOKUP(N227,'2026 fevral vash'!A:D,4,0),"0")/1000</f>
        <v>145.80000000000001</v>
      </c>
      <c r="Q227" s="173">
        <f>IFERROR(VLOOKUP(N227,'2026 mart vash'!A:D,4,0),"0")/1000</f>
        <v>134.69999999999999</v>
      </c>
      <c r="R227" s="173">
        <f>IFERROR(VLOOKUP(N227,'2026 aprel vash'!A:D,4,0),"0")/1000</f>
        <v>154.33000000000001</v>
      </c>
      <c r="S227" s="173">
        <f>IFERROR(VLOOKUP(N227,'2026 may vash'!A:D,4,0),"0")/1000</f>
        <v>80.599999999999994</v>
      </c>
      <c r="T227" s="173">
        <f>IFERROR(VLOOKUP(N227,'2026 iyun vash'!A:D,4,0),"0")/1000</f>
        <v>183.82</v>
      </c>
      <c r="U227" s="173">
        <f>IFERROR(VLOOKUP(N227,'2026 iyul vash'!A:D,4,0),"0")/1000</f>
        <v>23.7</v>
      </c>
      <c r="V227" s="173"/>
      <c r="W227" s="173"/>
      <c r="X227" s="173"/>
      <c r="Y227" s="173"/>
      <c r="Z227" s="173"/>
      <c r="AA227" s="162">
        <f t="shared" si="6"/>
        <v>881.55</v>
      </c>
      <c r="AB227" s="162"/>
      <c r="AC227" s="162"/>
      <c r="AD227" s="142" t="s">
        <v>1539</v>
      </c>
      <c r="AE227" s="77">
        <v>171904842.81999999</v>
      </c>
    </row>
    <row r="228" spans="1:31">
      <c r="A228" s="71" t="s">
        <v>253</v>
      </c>
      <c r="B228" s="72" t="s">
        <v>1762</v>
      </c>
      <c r="C228" s="68" t="s">
        <v>16</v>
      </c>
      <c r="D228" s="140" t="s">
        <v>24</v>
      </c>
      <c r="E228" s="140" t="s">
        <v>364</v>
      </c>
      <c r="F228" s="127" t="s">
        <v>474</v>
      </c>
      <c r="G228" s="140" t="s">
        <v>491</v>
      </c>
      <c r="H228" s="140"/>
      <c r="I228" s="140"/>
      <c r="J228" s="140" t="s">
        <v>1254</v>
      </c>
      <c r="K228" s="127" t="s">
        <v>1741</v>
      </c>
      <c r="L228" s="140" t="s">
        <v>1248</v>
      </c>
      <c r="M228" s="140" t="s">
        <v>1252</v>
      </c>
      <c r="N228" s="141">
        <v>15873</v>
      </c>
      <c r="O228" s="76">
        <f>VLOOKUP(N228,Uzcard!C:P,4,0)</f>
        <v>0</v>
      </c>
      <c r="P228" s="76">
        <f>VLOOKUP(N228,Uzcard!C:P,6,0)</f>
        <v>0</v>
      </c>
      <c r="Q228" s="76">
        <f>VLOOKUP(N228,Uzcard!C:P,8,0)</f>
        <v>0</v>
      </c>
      <c r="R228" s="76">
        <f>VLOOKUP(N228,Uzcard!C:P,10,0)</f>
        <v>0</v>
      </c>
      <c r="S228" s="76">
        <f>VLOOKUP(N228,Uzcard!C:P,12,0)</f>
        <v>0</v>
      </c>
      <c r="T228" s="76">
        <f>VLOOKUP(N228,Uzcard!C:P,14,0)</f>
        <v>0</v>
      </c>
      <c r="U228" s="172">
        <f>IFERROR(VLOOKUP(N228,'2026 iyul uzcard'!A:D,3,0),"0")/1000</f>
        <v>0</v>
      </c>
      <c r="V228" s="172"/>
      <c r="W228" s="172"/>
      <c r="X228" s="172"/>
      <c r="Y228" s="172"/>
      <c r="Z228" s="172"/>
      <c r="AA228" s="162">
        <f t="shared" si="6"/>
        <v>0</v>
      </c>
      <c r="AB228" s="162"/>
      <c r="AC228" s="162"/>
      <c r="AD228" s="142" t="s">
        <v>1742</v>
      </c>
      <c r="AE228" s="77">
        <v>106507213.69</v>
      </c>
    </row>
    <row r="229" spans="1:31">
      <c r="A229" s="71" t="s">
        <v>254</v>
      </c>
      <c r="B229" s="72" t="s">
        <v>1762</v>
      </c>
      <c r="C229" s="68" t="s">
        <v>16</v>
      </c>
      <c r="D229" s="140" t="s">
        <v>24</v>
      </c>
      <c r="E229" s="140" t="s">
        <v>364</v>
      </c>
      <c r="F229" s="127" t="s">
        <v>474</v>
      </c>
      <c r="G229" s="140" t="s">
        <v>491</v>
      </c>
      <c r="H229" s="140"/>
      <c r="I229" s="140"/>
      <c r="J229" s="140" t="s">
        <v>1215</v>
      </c>
      <c r="K229" s="127" t="s">
        <v>1740</v>
      </c>
      <c r="L229" s="140" t="s">
        <v>1248</v>
      </c>
      <c r="M229" s="140" t="s">
        <v>1253</v>
      </c>
      <c r="N229" s="141">
        <v>21333</v>
      </c>
      <c r="O229" s="76">
        <f>VLOOKUP(N229,Uzcard!C:P,4,0)</f>
        <v>0</v>
      </c>
      <c r="P229" s="76">
        <f>VLOOKUP(N229,Uzcard!C:P,6,0)</f>
        <v>0</v>
      </c>
      <c r="Q229" s="76">
        <f>VLOOKUP(N229,Uzcard!C:P,8,0)</f>
        <v>0</v>
      </c>
      <c r="R229" s="76">
        <f>VLOOKUP(N229,Uzcard!C:P,10,0)</f>
        <v>0</v>
      </c>
      <c r="S229" s="76">
        <f>VLOOKUP(N229,Uzcard!C:P,12,0)</f>
        <v>0</v>
      </c>
      <c r="T229" s="76">
        <f>VLOOKUP(N229,Uzcard!C:P,14,0)</f>
        <v>0</v>
      </c>
      <c r="U229" s="172">
        <f>IFERROR(VLOOKUP(N229,'2026 iyul uzcard'!A:D,3,0),"0")/1000</f>
        <v>0</v>
      </c>
      <c r="V229" s="172"/>
      <c r="W229" s="172"/>
      <c r="X229" s="172"/>
      <c r="Y229" s="172"/>
      <c r="Z229" s="172"/>
      <c r="AA229" s="162">
        <f t="shared" si="6"/>
        <v>0</v>
      </c>
      <c r="AB229" s="162"/>
      <c r="AC229" s="162"/>
      <c r="AD229" s="142" t="s">
        <v>1606</v>
      </c>
      <c r="AE229" s="77">
        <v>144808312</v>
      </c>
    </row>
    <row r="230" spans="1:31">
      <c r="A230" s="71" t="s">
        <v>255</v>
      </c>
      <c r="B230" s="72" t="s">
        <v>1762</v>
      </c>
      <c r="C230" s="68" t="s">
        <v>16</v>
      </c>
      <c r="D230" s="140" t="s">
        <v>24</v>
      </c>
      <c r="E230" s="140" t="s">
        <v>370</v>
      </c>
      <c r="F230" s="127" t="s">
        <v>376</v>
      </c>
      <c r="G230" s="98" t="s">
        <v>491</v>
      </c>
      <c r="H230" s="98" t="s">
        <v>1773</v>
      </c>
      <c r="I230" s="67">
        <v>1848</v>
      </c>
      <c r="J230" s="127" t="s">
        <v>1255</v>
      </c>
      <c r="K230" s="185" t="s">
        <v>1702</v>
      </c>
      <c r="L230" s="140" t="s">
        <v>1248</v>
      </c>
      <c r="M230" s="140" t="s">
        <v>1258</v>
      </c>
      <c r="N230" s="82" t="s">
        <v>1257</v>
      </c>
      <c r="O230" s="76">
        <f>VLOOKUP(N230,Humo!C:P,4,0)</f>
        <v>0</v>
      </c>
      <c r="P230" s="77">
        <f>VLOOKUP(N230,Humo!C:P,6,0)</f>
        <v>0</v>
      </c>
      <c r="Q230" s="77">
        <f>VLOOKUP(N230,Humo!C:P,8,0)</f>
        <v>0</v>
      </c>
      <c r="R230" s="77">
        <f>VLOOKUP(N230,Humo!C:P,10,0)</f>
        <v>0</v>
      </c>
      <c r="S230" s="77">
        <f>VLOOKUP(N230,Humo!C:P,12,0)</f>
        <v>0</v>
      </c>
      <c r="T230" s="77">
        <f>VLOOKUP(N230,Humo!C:P,14,0)</f>
        <v>0</v>
      </c>
      <c r="U230" s="77">
        <f>IFERROR(VLOOKUP(N230,'2026 iyul humo'!A:D,4,0),"0")/1000</f>
        <v>0</v>
      </c>
      <c r="V230" s="77"/>
      <c r="W230" s="77"/>
      <c r="X230" s="77"/>
      <c r="Y230" s="77"/>
      <c r="Z230" s="77"/>
      <c r="AA230" s="162">
        <f t="shared" si="6"/>
        <v>0</v>
      </c>
      <c r="AB230" s="162"/>
      <c r="AC230" s="162"/>
      <c r="AD230" s="142" t="s">
        <v>1703</v>
      </c>
      <c r="AE230" s="77">
        <v>168243023</v>
      </c>
    </row>
    <row r="231" spans="1:31">
      <c r="A231" s="71" t="s">
        <v>256</v>
      </c>
      <c r="B231" s="72" t="s">
        <v>1762</v>
      </c>
      <c r="C231" s="68" t="s">
        <v>16</v>
      </c>
      <c r="D231" s="140" t="s">
        <v>24</v>
      </c>
      <c r="E231" s="140" t="s">
        <v>381</v>
      </c>
      <c r="F231" s="127" t="s">
        <v>382</v>
      </c>
      <c r="G231" s="140" t="s">
        <v>491</v>
      </c>
      <c r="H231" s="140"/>
      <c r="I231" s="140"/>
      <c r="J231" s="127" t="s">
        <v>1689</v>
      </c>
      <c r="K231" s="127" t="s">
        <v>1735</v>
      </c>
      <c r="L231" s="140" t="s">
        <v>1166</v>
      </c>
      <c r="M231" s="127" t="s">
        <v>1685</v>
      </c>
      <c r="N231" s="87" t="s">
        <v>1685</v>
      </c>
      <c r="O231" s="76">
        <f>IFERROR(VLOOKUP(N231,'2026 yanvar vash'!A:D,4,0),"0")/1000</f>
        <v>0</v>
      </c>
      <c r="P231" s="173">
        <f>IFERROR(VLOOKUP(N231,'2026 fevral vash'!A:D,4,0),"0")/1000</f>
        <v>0</v>
      </c>
      <c r="Q231" s="173">
        <f>IFERROR(VLOOKUP(N231,'2026 mart vash'!A:D,4,0),"0")/1000</f>
        <v>0</v>
      </c>
      <c r="R231" s="173">
        <f>IFERROR(VLOOKUP(N231,'2026 aprel vash'!A:D,4,0),"0")/1000</f>
        <v>0</v>
      </c>
      <c r="S231" s="173">
        <f>IFERROR(VLOOKUP(N231,'2026 may vash'!A:D,4,0),"0")/1000</f>
        <v>0</v>
      </c>
      <c r="T231" s="173">
        <f>IFERROR(VLOOKUP(N231,'2026 iyun vash'!A:D,4,0),"0")/1000</f>
        <v>0</v>
      </c>
      <c r="U231" s="173">
        <f>IFERROR(VLOOKUP(N231,'2026 iyul vash'!A:D,4,0),"0")/1000</f>
        <v>0</v>
      </c>
      <c r="V231" s="173"/>
      <c r="W231" s="173"/>
      <c r="X231" s="173"/>
      <c r="Y231" s="173"/>
      <c r="Z231" s="173"/>
      <c r="AA231" s="162">
        <f t="shared" si="6"/>
        <v>0</v>
      </c>
      <c r="AB231" s="162"/>
      <c r="AC231" s="162"/>
      <c r="AD231" s="142" t="s">
        <v>1585</v>
      </c>
      <c r="AE231" s="77">
        <v>216557286.44999999</v>
      </c>
    </row>
    <row r="232" spans="1:31">
      <c r="A232" s="71" t="s">
        <v>257</v>
      </c>
      <c r="B232" s="72" t="s">
        <v>1762</v>
      </c>
      <c r="C232" s="68" t="s">
        <v>16</v>
      </c>
      <c r="D232" s="140" t="s">
        <v>24</v>
      </c>
      <c r="E232" s="140" t="s">
        <v>364</v>
      </c>
      <c r="F232" s="127" t="s">
        <v>474</v>
      </c>
      <c r="G232" s="140" t="s">
        <v>491</v>
      </c>
      <c r="H232" s="140"/>
      <c r="I232" s="140"/>
      <c r="J232" s="140" t="s">
        <v>1289</v>
      </c>
      <c r="K232" s="127" t="s">
        <v>1737</v>
      </c>
      <c r="L232" s="140" t="s">
        <v>1248</v>
      </c>
      <c r="M232" s="140" t="s">
        <v>1686</v>
      </c>
      <c r="N232" s="141">
        <v>15041</v>
      </c>
      <c r="O232" s="76">
        <f>VLOOKUP(N232,Uzcard!C:P,4,0)</f>
        <v>0</v>
      </c>
      <c r="P232" s="76">
        <f>VLOOKUP(N232,Uzcard!C:P,6,0)</f>
        <v>0</v>
      </c>
      <c r="Q232" s="76">
        <f>VLOOKUP(N232,Uzcard!C:P,8,0)</f>
        <v>0</v>
      </c>
      <c r="R232" s="76">
        <f>VLOOKUP(N232,Uzcard!C:P,10,0)</f>
        <v>0</v>
      </c>
      <c r="S232" s="76">
        <f>VLOOKUP(N232,Uzcard!C:P,12,0)</f>
        <v>0</v>
      </c>
      <c r="T232" s="76">
        <f>VLOOKUP(N232,Uzcard!C:P,14,0)</f>
        <v>0</v>
      </c>
      <c r="U232" s="172">
        <f>IFERROR(VLOOKUP(N232,'2026 iyul uzcard'!A:D,3,0),"0")/1000</f>
        <v>0</v>
      </c>
      <c r="V232" s="172"/>
      <c r="W232" s="172"/>
      <c r="X232" s="172"/>
      <c r="Y232" s="172"/>
      <c r="Z232" s="172"/>
      <c r="AA232" s="162">
        <f t="shared" si="6"/>
        <v>0</v>
      </c>
      <c r="AB232" s="162"/>
      <c r="AC232" s="162"/>
      <c r="AD232" s="142" t="s">
        <v>1738</v>
      </c>
      <c r="AE232" s="77">
        <v>106507213.69</v>
      </c>
    </row>
    <row r="233" spans="1:31">
      <c r="A233" s="71" t="s">
        <v>258</v>
      </c>
      <c r="B233" s="72" t="s">
        <v>1762</v>
      </c>
      <c r="C233" s="68" t="s">
        <v>16</v>
      </c>
      <c r="D233" s="140" t="s">
        <v>24</v>
      </c>
      <c r="E233" s="140" t="s">
        <v>381</v>
      </c>
      <c r="F233" s="127" t="s">
        <v>382</v>
      </c>
      <c r="G233" s="140" t="s">
        <v>491</v>
      </c>
      <c r="H233" s="140"/>
      <c r="I233" s="140"/>
      <c r="J233" s="140" t="s">
        <v>1259</v>
      </c>
      <c r="K233" s="127" t="s">
        <v>1734</v>
      </c>
      <c r="L233" s="140" t="s">
        <v>1248</v>
      </c>
      <c r="M233" s="140" t="s">
        <v>1260</v>
      </c>
      <c r="N233" s="82" t="s">
        <v>1260</v>
      </c>
      <c r="O233" s="76">
        <f>IFERROR(VLOOKUP(N233,'2026 yanvar vash'!A:D,4,0),"0")/1000</f>
        <v>0</v>
      </c>
      <c r="P233" s="173">
        <f>IFERROR(VLOOKUP(N233,'2026 fevral vash'!A:D,4,0),"0")/1000</f>
        <v>0</v>
      </c>
      <c r="Q233" s="173">
        <f>IFERROR(VLOOKUP(N233,'2026 mart vash'!A:D,4,0),"0")/1000</f>
        <v>0</v>
      </c>
      <c r="R233" s="173">
        <f>IFERROR(VLOOKUP(N233,'2026 aprel vash'!A:D,4,0),"0")/1000</f>
        <v>0</v>
      </c>
      <c r="S233" s="173">
        <f>IFERROR(VLOOKUP(N233,'2026 may vash'!A:D,4,0),"0")/1000</f>
        <v>0</v>
      </c>
      <c r="T233" s="173">
        <f>IFERROR(VLOOKUP(N233,'2026 iyun vash'!A:D,4,0),"0")/1000</f>
        <v>0</v>
      </c>
      <c r="U233" s="173">
        <f>IFERROR(VLOOKUP(N233,'2026 iyul vash'!A:D,4,0),"0")/1000</f>
        <v>0</v>
      </c>
      <c r="V233" s="173"/>
      <c r="W233" s="173"/>
      <c r="X233" s="173"/>
      <c r="Y233" s="173"/>
      <c r="Z233" s="173"/>
      <c r="AA233" s="162">
        <f t="shared" si="6"/>
        <v>0</v>
      </c>
      <c r="AB233" s="162"/>
      <c r="AC233" s="162"/>
      <c r="AD233" s="142" t="s">
        <v>1604</v>
      </c>
      <c r="AE233" s="77">
        <v>171904842.81999999</v>
      </c>
    </row>
    <row r="234" spans="1:31">
      <c r="A234" s="71" t="s">
        <v>259</v>
      </c>
      <c r="B234" s="72" t="s">
        <v>1762</v>
      </c>
      <c r="C234" s="68" t="s">
        <v>16</v>
      </c>
      <c r="D234" s="140" t="s">
        <v>24</v>
      </c>
      <c r="E234" s="140" t="s">
        <v>381</v>
      </c>
      <c r="F234" s="127" t="s">
        <v>382</v>
      </c>
      <c r="G234" s="140" t="s">
        <v>491</v>
      </c>
      <c r="H234" s="140"/>
      <c r="I234" s="140"/>
      <c r="J234" s="140">
        <v>1519353</v>
      </c>
      <c r="K234" s="140" t="s">
        <v>532</v>
      </c>
      <c r="L234" s="140" t="s">
        <v>1335</v>
      </c>
      <c r="M234" s="140" t="s">
        <v>535</v>
      </c>
      <c r="N234" s="82" t="s">
        <v>535</v>
      </c>
      <c r="O234" s="76">
        <f>IFERROR(VLOOKUP(N234,'2026 yanvar vash'!A:D,4,0),"0")/1000</f>
        <v>0</v>
      </c>
      <c r="P234" s="173">
        <f>IFERROR(VLOOKUP(N234,'2026 fevral vash'!A:D,4,0),"0")/1000</f>
        <v>0</v>
      </c>
      <c r="Q234" s="173">
        <f>IFERROR(VLOOKUP(N234,'2026 mart vash'!A:D,4,0),"0")/1000</f>
        <v>0</v>
      </c>
      <c r="R234" s="173">
        <f>IFERROR(VLOOKUP(N234,'2026 aprel vash'!A:D,4,0),"0")/1000</f>
        <v>0</v>
      </c>
      <c r="S234" s="173">
        <f>IFERROR(VLOOKUP(N234,'2026 may vash'!A:D,4,0),"0")/1000</f>
        <v>0</v>
      </c>
      <c r="T234" s="173">
        <f>IFERROR(VLOOKUP(N234,'2026 iyun vash'!A:D,4,0),"0")/1000</f>
        <v>0</v>
      </c>
      <c r="U234" s="173">
        <f>IFERROR(VLOOKUP(N234,'2026 iyul vash'!A:D,4,0),"0")/1000</f>
        <v>0</v>
      </c>
      <c r="V234" s="173"/>
      <c r="W234" s="173"/>
      <c r="X234" s="173"/>
      <c r="Y234" s="173"/>
      <c r="Z234" s="173"/>
      <c r="AA234" s="162">
        <f t="shared" si="6"/>
        <v>0</v>
      </c>
      <c r="AB234" s="162"/>
      <c r="AC234" s="162"/>
      <c r="AD234" s="142" t="s">
        <v>1594</v>
      </c>
      <c r="AE234" s="77">
        <v>171904842.81999999</v>
      </c>
    </row>
    <row r="235" spans="1:31">
      <c r="A235" s="71" t="s">
        <v>260</v>
      </c>
      <c r="B235" s="72" t="s">
        <v>1763</v>
      </c>
      <c r="C235" s="68" t="s">
        <v>17</v>
      </c>
      <c r="D235" s="73" t="s">
        <v>1243</v>
      </c>
      <c r="E235" s="105" t="s">
        <v>370</v>
      </c>
      <c r="F235" s="1" t="s">
        <v>376</v>
      </c>
      <c r="G235" s="146" t="s">
        <v>522</v>
      </c>
      <c r="H235" s="98" t="s">
        <v>1773</v>
      </c>
      <c r="I235" s="67">
        <v>1848</v>
      </c>
      <c r="J235" s="149" t="s">
        <v>623</v>
      </c>
      <c r="K235" s="71" t="s">
        <v>642</v>
      </c>
      <c r="L235" s="71" t="s">
        <v>641</v>
      </c>
      <c r="M235" s="71" t="s">
        <v>643</v>
      </c>
      <c r="N235" s="82" t="s">
        <v>605</v>
      </c>
      <c r="O235" s="76">
        <f>VLOOKUP(N235,Humo!C:P,4,0)</f>
        <v>6624.7</v>
      </c>
      <c r="P235" s="77">
        <f>VLOOKUP(N235,Humo!C:P,6,0)</f>
        <v>5858.8</v>
      </c>
      <c r="Q235" s="77">
        <f>VLOOKUP(N235,Humo!C:P,8,0)</f>
        <v>4175.3</v>
      </c>
      <c r="R235" s="77">
        <f>VLOOKUP(N235,Humo!C:P,10,0)</f>
        <v>5295.2</v>
      </c>
      <c r="S235" s="77">
        <f>VLOOKUP(N235,Humo!C:P,12,0)</f>
        <v>2265.1</v>
      </c>
      <c r="T235" s="77">
        <f>VLOOKUP(N235,Humo!C:P,14,0)</f>
        <v>0</v>
      </c>
      <c r="U235" s="77">
        <f>IFERROR(VLOOKUP(N235,'2026 iyul humo'!A:D,4,0),"0")/1000</f>
        <v>0</v>
      </c>
      <c r="V235" s="77"/>
      <c r="W235" s="77"/>
      <c r="X235" s="77"/>
      <c r="Y235" s="77"/>
      <c r="Z235" s="77"/>
      <c r="AA235" s="162">
        <f t="shared" si="6"/>
        <v>24219.1</v>
      </c>
      <c r="AB235" s="162"/>
      <c r="AC235" s="162"/>
      <c r="AD235" s="146" t="s">
        <v>1575</v>
      </c>
      <c r="AE235" s="148">
        <v>168243023</v>
      </c>
    </row>
    <row r="236" spans="1:31">
      <c r="A236" s="71" t="s">
        <v>261</v>
      </c>
      <c r="B236" s="72" t="s">
        <v>1763</v>
      </c>
      <c r="C236" s="68" t="s">
        <v>17</v>
      </c>
      <c r="D236" s="73" t="s">
        <v>1243</v>
      </c>
      <c r="E236" s="105" t="s">
        <v>364</v>
      </c>
      <c r="F236" s="1" t="s">
        <v>1162</v>
      </c>
      <c r="G236" s="146" t="s">
        <v>522</v>
      </c>
      <c r="H236" s="1" t="s">
        <v>1780</v>
      </c>
      <c r="I236" s="67">
        <v>1128.7</v>
      </c>
      <c r="J236" s="79" t="s">
        <v>1412</v>
      </c>
      <c r="K236" s="71" t="s">
        <v>1413</v>
      </c>
      <c r="L236" s="71" t="s">
        <v>641</v>
      </c>
      <c r="M236" s="146">
        <v>90110037820</v>
      </c>
      <c r="N236" s="147">
        <v>39749</v>
      </c>
      <c r="O236" s="76">
        <f>VLOOKUP(N236,Uzcard!C:P,4,0)</f>
        <v>0</v>
      </c>
      <c r="P236" s="76">
        <f>VLOOKUP(N236,Uzcard!C:P,6,0)</f>
        <v>0</v>
      </c>
      <c r="Q236" s="76">
        <f>VLOOKUP(N236,Uzcard!C:P,8,0)</f>
        <v>0</v>
      </c>
      <c r="R236" s="76">
        <f>VLOOKUP(N236,Uzcard!C:P,10,0)</f>
        <v>0</v>
      </c>
      <c r="S236" s="76">
        <f>VLOOKUP(N236,Uzcard!C:P,12,0)</f>
        <v>0</v>
      </c>
      <c r="T236" s="76">
        <f>VLOOKUP(N236,Uzcard!C:P,14,0)</f>
        <v>4398.8999999999996</v>
      </c>
      <c r="U236" s="172">
        <f>IFERROR(VLOOKUP(N236,'2026 iyul uzcard'!A:D,3,0),"0")/1000</f>
        <v>3706</v>
      </c>
      <c r="V236" s="172"/>
      <c r="W236" s="172"/>
      <c r="X236" s="172"/>
      <c r="Y236" s="172"/>
      <c r="Z236" s="172"/>
      <c r="AA236" s="162">
        <f t="shared" si="6"/>
        <v>8104.9</v>
      </c>
      <c r="AB236" s="162"/>
      <c r="AC236" s="162"/>
      <c r="AD236" s="146" t="s">
        <v>1501</v>
      </c>
      <c r="AE236" s="148">
        <v>362504800</v>
      </c>
    </row>
    <row r="237" spans="1:31">
      <c r="A237" s="71" t="s">
        <v>262</v>
      </c>
      <c r="B237" s="72" t="s">
        <v>1763</v>
      </c>
      <c r="C237" s="68" t="s">
        <v>17</v>
      </c>
      <c r="D237" s="146" t="s">
        <v>607</v>
      </c>
      <c r="E237" s="105" t="s">
        <v>364</v>
      </c>
      <c r="F237" s="1" t="s">
        <v>474</v>
      </c>
      <c r="G237" s="146" t="s">
        <v>522</v>
      </c>
      <c r="H237" s="146"/>
      <c r="I237" s="146"/>
      <c r="J237" s="146" t="s">
        <v>624</v>
      </c>
      <c r="K237" s="71" t="s">
        <v>646</v>
      </c>
      <c r="L237" s="71" t="s">
        <v>645</v>
      </c>
      <c r="M237" s="71">
        <v>901115127</v>
      </c>
      <c r="N237" s="147">
        <v>16279</v>
      </c>
      <c r="O237" s="76">
        <f>VLOOKUP(N237,Uzcard!C:P,4,0)</f>
        <v>2002.1</v>
      </c>
      <c r="P237" s="76">
        <f>VLOOKUP(N237,Uzcard!C:P,6,0)</f>
        <v>2971.85</v>
      </c>
      <c r="Q237" s="76">
        <f>VLOOKUP(N237,Uzcard!C:P,8,0)</f>
        <v>4541.3999999999996</v>
      </c>
      <c r="R237" s="76">
        <f>VLOOKUP(N237,Uzcard!C:P,10,0)</f>
        <v>1901.25</v>
      </c>
      <c r="S237" s="76">
        <f>VLOOKUP(N237,Uzcard!C:P,12,0)</f>
        <v>1380.25</v>
      </c>
      <c r="T237" s="76">
        <f>VLOOKUP(N237,Uzcard!C:P,14,0)</f>
        <v>2715.15</v>
      </c>
      <c r="U237" s="172">
        <f>IFERROR(VLOOKUP(N237,'2026 iyul uzcard'!A:D,3,0),"0")/1000</f>
        <v>2538.85</v>
      </c>
      <c r="V237" s="172"/>
      <c r="W237" s="172"/>
      <c r="X237" s="172"/>
      <c r="Y237" s="172"/>
      <c r="Z237" s="172"/>
      <c r="AA237" s="162">
        <f t="shared" si="6"/>
        <v>18050.849999999999</v>
      </c>
      <c r="AB237" s="162"/>
      <c r="AC237" s="162"/>
      <c r="AD237" s="146" t="s">
        <v>1591</v>
      </c>
      <c r="AE237" s="148">
        <v>106507213.69</v>
      </c>
    </row>
    <row r="238" spans="1:31">
      <c r="A238" s="71" t="s">
        <v>263</v>
      </c>
      <c r="B238" s="72" t="s">
        <v>1763</v>
      </c>
      <c r="C238" s="68" t="s">
        <v>17</v>
      </c>
      <c r="D238" s="146" t="s">
        <v>607</v>
      </c>
      <c r="E238" s="105" t="s">
        <v>370</v>
      </c>
      <c r="F238" s="95" t="s">
        <v>371</v>
      </c>
      <c r="G238" s="146" t="s">
        <v>522</v>
      </c>
      <c r="H238" s="98" t="s">
        <v>1773</v>
      </c>
      <c r="I238" s="67">
        <v>1848</v>
      </c>
      <c r="J238" s="146" t="s">
        <v>625</v>
      </c>
      <c r="K238" s="71" t="s">
        <v>647</v>
      </c>
      <c r="L238" s="71" t="s">
        <v>645</v>
      </c>
      <c r="M238" s="71" t="s">
        <v>648</v>
      </c>
      <c r="N238" s="82" t="s">
        <v>608</v>
      </c>
      <c r="O238" s="76">
        <f>VLOOKUP(N238,Humo!C:P,4,0)</f>
        <v>5118.55</v>
      </c>
      <c r="P238" s="77">
        <f>VLOOKUP(N238,Humo!C:P,6,0)</f>
        <v>4904.3</v>
      </c>
      <c r="Q238" s="77">
        <f>VLOOKUP(N238,Humo!C:P,8,0)</f>
        <v>3678.75</v>
      </c>
      <c r="R238" s="77">
        <f>VLOOKUP(N238,Humo!C:P,10,0)</f>
        <v>5572.05</v>
      </c>
      <c r="S238" s="77">
        <f>VLOOKUP(N238,Humo!C:P,12,0)</f>
        <v>5080.3500000000004</v>
      </c>
      <c r="T238" s="77">
        <f>VLOOKUP(N238,Humo!C:P,14,0)</f>
        <v>4651.3999999999996</v>
      </c>
      <c r="U238" s="77">
        <f>IFERROR(VLOOKUP(N238,'2026 iyul humo'!A:D,4,0),"0")/1000</f>
        <v>5465.65</v>
      </c>
      <c r="V238" s="77"/>
      <c r="W238" s="77"/>
      <c r="X238" s="77"/>
      <c r="Y238" s="77"/>
      <c r="Z238" s="77"/>
      <c r="AA238" s="162">
        <f t="shared" si="6"/>
        <v>34471.050000000003</v>
      </c>
      <c r="AB238" s="162"/>
      <c r="AC238" s="162"/>
      <c r="AD238" s="146" t="s">
        <v>1537</v>
      </c>
      <c r="AE238" s="148">
        <v>62805331</v>
      </c>
    </row>
    <row r="239" spans="1:31">
      <c r="A239" s="71" t="s">
        <v>264</v>
      </c>
      <c r="B239" s="72" t="s">
        <v>1763</v>
      </c>
      <c r="C239" s="68" t="s">
        <v>17</v>
      </c>
      <c r="D239" s="146" t="s">
        <v>609</v>
      </c>
      <c r="E239" s="105" t="s">
        <v>364</v>
      </c>
      <c r="F239" s="1" t="s">
        <v>475</v>
      </c>
      <c r="G239" s="146" t="s">
        <v>522</v>
      </c>
      <c r="H239" s="90" t="s">
        <v>1780</v>
      </c>
      <c r="I239" s="67">
        <v>1128.7</v>
      </c>
      <c r="J239" s="146" t="s">
        <v>626</v>
      </c>
      <c r="K239" s="71" t="s">
        <v>652</v>
      </c>
      <c r="L239" s="71" t="s">
        <v>649</v>
      </c>
      <c r="M239" s="71" t="s">
        <v>650</v>
      </c>
      <c r="N239" s="147">
        <v>29638</v>
      </c>
      <c r="O239" s="76">
        <f>VLOOKUP(N239,Uzcard!C:P,4,0)</f>
        <v>19674.95</v>
      </c>
      <c r="P239" s="76">
        <f>VLOOKUP(N239,Uzcard!C:P,6,0)</f>
        <v>22368.799999999999</v>
      </c>
      <c r="Q239" s="76">
        <f>VLOOKUP(N239,Uzcard!C:P,8,0)</f>
        <v>23721</v>
      </c>
      <c r="R239" s="76">
        <f>VLOOKUP(N239,Uzcard!C:P,10,0)</f>
        <v>23109.05</v>
      </c>
      <c r="S239" s="76">
        <f>VLOOKUP(N239,Uzcard!C:P,12,0)</f>
        <v>20418.95</v>
      </c>
      <c r="T239" s="76">
        <f>VLOOKUP(N239,Uzcard!C:P,14,0)</f>
        <v>16172.75</v>
      </c>
      <c r="U239" s="172">
        <f>IFERROR(VLOOKUP(N239,'2026 iyul uzcard'!A:D,3,0),"0")/1000</f>
        <v>14776.05</v>
      </c>
      <c r="V239" s="172"/>
      <c r="W239" s="172"/>
      <c r="X239" s="172"/>
      <c r="Y239" s="172"/>
      <c r="Z239" s="172"/>
      <c r="AA239" s="162">
        <f t="shared" si="6"/>
        <v>140241.54999999999</v>
      </c>
      <c r="AB239" s="162"/>
      <c r="AC239" s="162"/>
      <c r="AD239" s="146" t="s">
        <v>1589</v>
      </c>
      <c r="AE239" s="148">
        <v>144808312</v>
      </c>
    </row>
    <row r="240" spans="1:31">
      <c r="A240" s="71" t="s">
        <v>265</v>
      </c>
      <c r="B240" s="72" t="s">
        <v>1763</v>
      </c>
      <c r="C240" s="68" t="s">
        <v>17</v>
      </c>
      <c r="D240" s="146" t="s">
        <v>609</v>
      </c>
      <c r="E240" s="105" t="s">
        <v>370</v>
      </c>
      <c r="F240" s="95" t="s">
        <v>371</v>
      </c>
      <c r="G240" s="146" t="s">
        <v>522</v>
      </c>
      <c r="H240" s="98" t="s">
        <v>1773</v>
      </c>
      <c r="I240" s="67">
        <v>1848</v>
      </c>
      <c r="J240" s="146" t="s">
        <v>627</v>
      </c>
      <c r="K240" s="71" t="s">
        <v>653</v>
      </c>
      <c r="L240" s="71" t="s">
        <v>649</v>
      </c>
      <c r="M240" s="71" t="s">
        <v>651</v>
      </c>
      <c r="N240" s="147">
        <v>15700006</v>
      </c>
      <c r="O240" s="76">
        <f>VLOOKUP(N240,Humo!C:P,4,0)</f>
        <v>8520.2999999999993</v>
      </c>
      <c r="P240" s="77">
        <f>VLOOKUP(N240,Humo!C:P,6,0)</f>
        <v>9332.9</v>
      </c>
      <c r="Q240" s="77">
        <f>VLOOKUP(N240,Humo!C:P,8,0)</f>
        <v>6888.4</v>
      </c>
      <c r="R240" s="77">
        <f>VLOOKUP(N240,Humo!C:P,10,0)</f>
        <v>9979.7000000000007</v>
      </c>
      <c r="S240" s="77">
        <f>VLOOKUP(N240,Humo!C:P,12,0)</f>
        <v>5484.1</v>
      </c>
      <c r="T240" s="77">
        <f>VLOOKUP(N240,Humo!C:P,14,0)</f>
        <v>14318.4</v>
      </c>
      <c r="U240" s="77">
        <f>IFERROR(VLOOKUP(N240,'2026 iyul humo'!A:D,4,0),"0")/1000</f>
        <v>14558.5</v>
      </c>
      <c r="V240" s="77"/>
      <c r="W240" s="77"/>
      <c r="X240" s="77"/>
      <c r="Y240" s="77"/>
      <c r="Z240" s="77"/>
      <c r="AA240" s="162">
        <f t="shared" si="6"/>
        <v>69082.3</v>
      </c>
      <c r="AB240" s="162"/>
      <c r="AC240" s="162"/>
      <c r="AD240" s="146" t="s">
        <v>1505</v>
      </c>
      <c r="AE240" s="148">
        <v>62805331</v>
      </c>
    </row>
    <row r="241" spans="1:31">
      <c r="A241" s="71" t="s">
        <v>266</v>
      </c>
      <c r="B241" s="72" t="s">
        <v>1763</v>
      </c>
      <c r="C241" s="68" t="s">
        <v>17</v>
      </c>
      <c r="D241" s="146" t="s">
        <v>611</v>
      </c>
      <c r="E241" s="105" t="s">
        <v>364</v>
      </c>
      <c r="F241" s="1" t="s">
        <v>475</v>
      </c>
      <c r="G241" s="146" t="s">
        <v>522</v>
      </c>
      <c r="H241" s="90" t="s">
        <v>1780</v>
      </c>
      <c r="I241" s="67">
        <v>1128.7</v>
      </c>
      <c r="J241" s="146" t="s">
        <v>629</v>
      </c>
      <c r="K241" s="71" t="s">
        <v>657</v>
      </c>
      <c r="L241" s="71" t="s">
        <v>655</v>
      </c>
      <c r="M241" s="71">
        <v>901125473</v>
      </c>
      <c r="N241" s="147">
        <v>26527</v>
      </c>
      <c r="O241" s="76">
        <f>VLOOKUP(N241,Uzcard!C:P,4,0)</f>
        <v>12903.95</v>
      </c>
      <c r="P241" s="76">
        <f>VLOOKUP(N241,Uzcard!C:P,6,0)</f>
        <v>18958.25</v>
      </c>
      <c r="Q241" s="76">
        <f>VLOOKUP(N241,Uzcard!C:P,8,0)</f>
        <v>18205.5</v>
      </c>
      <c r="R241" s="76">
        <f>VLOOKUP(N241,Uzcard!C:P,10,0)</f>
        <v>19553.95</v>
      </c>
      <c r="S241" s="76">
        <f>VLOOKUP(N241,Uzcard!C:P,12,0)</f>
        <v>15434.2</v>
      </c>
      <c r="T241" s="76">
        <f>VLOOKUP(N241,Uzcard!C:P,14,0)</f>
        <v>18719.599999999999</v>
      </c>
      <c r="U241" s="172">
        <f>IFERROR(VLOOKUP(N241,'2026 iyul uzcard'!A:D,3,0),"0")/1000</f>
        <v>17425.3</v>
      </c>
      <c r="V241" s="172"/>
      <c r="W241" s="172"/>
      <c r="X241" s="172"/>
      <c r="Y241" s="172"/>
      <c r="Z241" s="172"/>
      <c r="AA241" s="162">
        <f t="shared" si="6"/>
        <v>121200.74999999999</v>
      </c>
      <c r="AB241" s="162"/>
      <c r="AC241" s="162"/>
      <c r="AD241" s="146" t="s">
        <v>1588</v>
      </c>
      <c r="AE241" s="148">
        <v>144808312</v>
      </c>
    </row>
    <row r="242" spans="1:31">
      <c r="A242" s="71" t="s">
        <v>267</v>
      </c>
      <c r="B242" s="72" t="s">
        <v>1763</v>
      </c>
      <c r="C242" s="68" t="s">
        <v>17</v>
      </c>
      <c r="D242" s="146" t="s">
        <v>611</v>
      </c>
      <c r="E242" s="105" t="s">
        <v>370</v>
      </c>
      <c r="F242" s="95" t="s">
        <v>371</v>
      </c>
      <c r="G242" s="146" t="s">
        <v>522</v>
      </c>
      <c r="H242" s="98" t="s">
        <v>1773</v>
      </c>
      <c r="I242" s="67">
        <v>1848</v>
      </c>
      <c r="J242" s="146" t="s">
        <v>630</v>
      </c>
      <c r="K242" s="71" t="s">
        <v>658</v>
      </c>
      <c r="L242" s="71" t="s">
        <v>655</v>
      </c>
      <c r="M242" s="71" t="s">
        <v>659</v>
      </c>
      <c r="N242" s="82" t="s">
        <v>612</v>
      </c>
      <c r="O242" s="76">
        <f>VLOOKUP(N242,Humo!C:P,4,0)</f>
        <v>8388.9</v>
      </c>
      <c r="P242" s="77">
        <f>VLOOKUP(N242,Humo!C:P,6,0)</f>
        <v>4588.3999999999996</v>
      </c>
      <c r="Q242" s="77">
        <f>VLOOKUP(N242,Humo!C:P,8,0)</f>
        <v>4421</v>
      </c>
      <c r="R242" s="77">
        <f>VLOOKUP(N242,Humo!C:P,10,0)</f>
        <v>1399.35</v>
      </c>
      <c r="S242" s="77">
        <f>VLOOKUP(N242,Humo!C:P,12,0)</f>
        <v>1279.2</v>
      </c>
      <c r="T242" s="77">
        <f>VLOOKUP(N242,Humo!C:P,14,0)</f>
        <v>3667.7</v>
      </c>
      <c r="U242" s="77">
        <f>IFERROR(VLOOKUP(N242,'2026 iyul humo'!A:D,4,0),"0")/1000</f>
        <v>9181.7000000000007</v>
      </c>
      <c r="V242" s="77"/>
      <c r="W242" s="77"/>
      <c r="X242" s="77"/>
      <c r="Y242" s="77"/>
      <c r="Z242" s="77"/>
      <c r="AA242" s="162">
        <f t="shared" si="6"/>
        <v>32926.25</v>
      </c>
      <c r="AB242" s="162"/>
      <c r="AC242" s="162"/>
      <c r="AD242" s="146" t="s">
        <v>1505</v>
      </c>
      <c r="AE242" s="148">
        <v>62805331</v>
      </c>
    </row>
    <row r="243" spans="1:31">
      <c r="A243" s="71" t="s">
        <v>268</v>
      </c>
      <c r="B243" s="72" t="s">
        <v>1763</v>
      </c>
      <c r="C243" s="68" t="s">
        <v>17</v>
      </c>
      <c r="D243" s="146" t="s">
        <v>613</v>
      </c>
      <c r="E243" s="105" t="s">
        <v>364</v>
      </c>
      <c r="F243" s="1" t="s">
        <v>474</v>
      </c>
      <c r="G243" s="146" t="s">
        <v>522</v>
      </c>
      <c r="H243" s="146"/>
      <c r="I243" s="146"/>
      <c r="J243" s="146" t="s">
        <v>631</v>
      </c>
      <c r="K243" s="71" t="s">
        <v>660</v>
      </c>
      <c r="L243" s="71" t="s">
        <v>663</v>
      </c>
      <c r="M243" s="71">
        <v>901117291</v>
      </c>
      <c r="N243" s="147">
        <v>18098</v>
      </c>
      <c r="O243" s="76">
        <f>VLOOKUP(N243,Uzcard!C:P,4,0)</f>
        <v>3265.65</v>
      </c>
      <c r="P243" s="76">
        <f>VLOOKUP(N243,Uzcard!C:P,6,0)</f>
        <v>3990.05</v>
      </c>
      <c r="Q243" s="76">
        <f>VLOOKUP(N243,Uzcard!C:P,8,0)</f>
        <v>3449.25</v>
      </c>
      <c r="R243" s="76">
        <f>VLOOKUP(N243,Uzcard!C:P,10,0)</f>
        <v>2617.8000000000002</v>
      </c>
      <c r="S243" s="76">
        <f>VLOOKUP(N243,Uzcard!C:P,12,0)</f>
        <v>2103.65</v>
      </c>
      <c r="T243" s="76">
        <f>VLOOKUP(N243,Uzcard!C:P,14,0)</f>
        <v>1112.0999999999999</v>
      </c>
      <c r="U243" s="172">
        <f>IFERROR(VLOOKUP(N243,'2026 iyul uzcard'!A:D,3,0),"0")/1000</f>
        <v>1790.7</v>
      </c>
      <c r="V243" s="172"/>
      <c r="W243" s="172"/>
      <c r="X243" s="172"/>
      <c r="Y243" s="172"/>
      <c r="Z243" s="172"/>
      <c r="AA243" s="162">
        <f t="shared" si="6"/>
        <v>18329.2</v>
      </c>
      <c r="AB243" s="162"/>
      <c r="AC243" s="162"/>
      <c r="AD243" s="146" t="s">
        <v>1587</v>
      </c>
      <c r="AE243" s="148">
        <v>100458192.72</v>
      </c>
    </row>
    <row r="244" spans="1:31">
      <c r="A244" s="71" t="s">
        <v>269</v>
      </c>
      <c r="B244" s="72" t="s">
        <v>1763</v>
      </c>
      <c r="C244" s="68" t="s">
        <v>17</v>
      </c>
      <c r="D244" s="146" t="s">
        <v>613</v>
      </c>
      <c r="E244" s="105" t="s">
        <v>370</v>
      </c>
      <c r="F244" s="95" t="s">
        <v>371</v>
      </c>
      <c r="G244" s="146" t="s">
        <v>522</v>
      </c>
      <c r="H244" s="98" t="s">
        <v>1773</v>
      </c>
      <c r="I244" s="67">
        <v>1848</v>
      </c>
      <c r="J244" s="146" t="s">
        <v>632</v>
      </c>
      <c r="K244" s="71" t="s">
        <v>661</v>
      </c>
      <c r="L244" s="71" t="s">
        <v>663</v>
      </c>
      <c r="M244" s="71" t="s">
        <v>662</v>
      </c>
      <c r="N244" s="82" t="s">
        <v>614</v>
      </c>
      <c r="O244" s="76">
        <f>VLOOKUP(N244,Humo!C:P,4,0)</f>
        <v>370.6</v>
      </c>
      <c r="P244" s="77">
        <f>VLOOKUP(N244,Humo!C:P,6,0)</f>
        <v>905.65</v>
      </c>
      <c r="Q244" s="77">
        <f>VLOOKUP(N244,Humo!C:P,8,0)</f>
        <v>520.4</v>
      </c>
      <c r="R244" s="77">
        <f>VLOOKUP(N244,Humo!C:P,10,0)</f>
        <v>594.20000000000005</v>
      </c>
      <c r="S244" s="77">
        <f>VLOOKUP(N244,Humo!C:P,12,0)</f>
        <v>130.35</v>
      </c>
      <c r="T244" s="77">
        <f>VLOOKUP(N244,Humo!C:P,14,0)</f>
        <v>3485.8</v>
      </c>
      <c r="U244" s="77">
        <f>IFERROR(VLOOKUP(N244,'2026 iyul humo'!A:D,4,0),"0")/1000</f>
        <v>2153.4</v>
      </c>
      <c r="V244" s="77"/>
      <c r="W244" s="77"/>
      <c r="X244" s="77"/>
      <c r="Y244" s="77"/>
      <c r="Z244" s="77"/>
      <c r="AA244" s="162">
        <f t="shared" si="6"/>
        <v>8160.4</v>
      </c>
      <c r="AB244" s="162"/>
      <c r="AC244" s="162"/>
      <c r="AD244" s="146" t="s">
        <v>1585</v>
      </c>
      <c r="AE244" s="148">
        <v>63098415.920000002</v>
      </c>
    </row>
    <row r="245" spans="1:31">
      <c r="A245" s="71" t="s">
        <v>270</v>
      </c>
      <c r="B245" s="72" t="s">
        <v>1763</v>
      </c>
      <c r="C245" s="68" t="s">
        <v>17</v>
      </c>
      <c r="D245" s="146" t="s">
        <v>615</v>
      </c>
      <c r="E245" s="105" t="s">
        <v>364</v>
      </c>
      <c r="F245" s="1" t="s">
        <v>475</v>
      </c>
      <c r="G245" s="146" t="s">
        <v>522</v>
      </c>
      <c r="H245" s="146"/>
      <c r="I245" s="146"/>
      <c r="J245" s="146" t="s">
        <v>633</v>
      </c>
      <c r="K245" s="71" t="s">
        <v>667</v>
      </c>
      <c r="L245" s="71" t="s">
        <v>664</v>
      </c>
      <c r="M245" s="71" t="s">
        <v>665</v>
      </c>
      <c r="N245" s="147">
        <v>29639</v>
      </c>
      <c r="O245" s="76">
        <f>VLOOKUP(N245,Uzcard!C:P,4,0)</f>
        <v>4537.2</v>
      </c>
      <c r="P245" s="76">
        <f>VLOOKUP(N245,Uzcard!C:P,6,0)</f>
        <v>15166.15</v>
      </c>
      <c r="Q245" s="76">
        <f>VLOOKUP(N245,Uzcard!C:P,8,0)</f>
        <v>9879.5</v>
      </c>
      <c r="R245" s="76">
        <f>VLOOKUP(N245,Uzcard!C:P,10,0)</f>
        <v>15385</v>
      </c>
      <c r="S245" s="76">
        <f>VLOOKUP(N245,Uzcard!C:P,12,0)</f>
        <v>15323</v>
      </c>
      <c r="T245" s="76">
        <f>VLOOKUP(N245,Uzcard!C:P,14,0)</f>
        <v>13796.8</v>
      </c>
      <c r="U245" s="172">
        <f>IFERROR(VLOOKUP(N245,'2026 iyul uzcard'!A:D,3,0),"0")/1000</f>
        <v>14904.25</v>
      </c>
      <c r="V245" s="172"/>
      <c r="W245" s="172"/>
      <c r="X245" s="172"/>
      <c r="Y245" s="172"/>
      <c r="Z245" s="172"/>
      <c r="AA245" s="162">
        <f t="shared" si="6"/>
        <v>88991.9</v>
      </c>
      <c r="AB245" s="162"/>
      <c r="AC245" s="162"/>
      <c r="AD245" s="146" t="s">
        <v>1589</v>
      </c>
      <c r="AE245" s="148">
        <v>144808312</v>
      </c>
    </row>
    <row r="246" spans="1:31">
      <c r="A246" s="71" t="s">
        <v>271</v>
      </c>
      <c r="B246" s="72" t="s">
        <v>1763</v>
      </c>
      <c r="C246" s="68" t="s">
        <v>17</v>
      </c>
      <c r="D246" s="146" t="s">
        <v>615</v>
      </c>
      <c r="E246" s="105" t="s">
        <v>364</v>
      </c>
      <c r="F246" s="1" t="s">
        <v>475</v>
      </c>
      <c r="G246" s="146" t="s">
        <v>522</v>
      </c>
      <c r="H246" s="146"/>
      <c r="I246" s="146"/>
      <c r="J246" s="90" t="s">
        <v>1793</v>
      </c>
      <c r="K246" s="71" t="s">
        <v>668</v>
      </c>
      <c r="L246" s="71" t="s">
        <v>664</v>
      </c>
      <c r="M246" s="71">
        <v>90110035821</v>
      </c>
      <c r="N246" s="147">
        <v>37852</v>
      </c>
      <c r="O246" s="76">
        <f>VLOOKUP(N246,Uzcard!C:P,4,0)</f>
        <v>0</v>
      </c>
      <c r="P246" s="76">
        <f>VLOOKUP(N246,Uzcard!C:P,6,0)</f>
        <v>0</v>
      </c>
      <c r="Q246" s="76">
        <f>VLOOKUP(N246,Uzcard!C:P,8,0)</f>
        <v>2188.9</v>
      </c>
      <c r="R246" s="76">
        <f>VLOOKUP(N246,Uzcard!C:P,10,0)</f>
        <v>10387.299999999999</v>
      </c>
      <c r="S246" s="76">
        <f>VLOOKUP(N246,Uzcard!C:P,12,0)</f>
        <v>12804.15</v>
      </c>
      <c r="T246" s="76">
        <f>VLOOKUP(N246,Uzcard!C:P,14,0)</f>
        <v>17964.95</v>
      </c>
      <c r="U246" s="172">
        <f>IFERROR(VLOOKUP(N246,'2026 iyul uzcard'!A:D,3,0),"0")/1000</f>
        <v>13101.05</v>
      </c>
      <c r="V246" s="172"/>
      <c r="W246" s="172"/>
      <c r="X246" s="172"/>
      <c r="Y246" s="172"/>
      <c r="Z246" s="172"/>
      <c r="AA246" s="162">
        <f t="shared" si="6"/>
        <v>56446.350000000006</v>
      </c>
      <c r="AB246" s="162"/>
      <c r="AC246" s="162"/>
      <c r="AD246" s="146" t="s">
        <v>1503</v>
      </c>
      <c r="AE246" s="148">
        <v>105827950</v>
      </c>
    </row>
    <row r="247" spans="1:31">
      <c r="A247" s="71" t="s">
        <v>272</v>
      </c>
      <c r="B247" s="72" t="s">
        <v>1763</v>
      </c>
      <c r="C247" s="68" t="s">
        <v>17</v>
      </c>
      <c r="D247" s="146" t="s">
        <v>615</v>
      </c>
      <c r="E247" s="105" t="s">
        <v>370</v>
      </c>
      <c r="F247" s="95" t="s">
        <v>371</v>
      </c>
      <c r="G247" s="146" t="s">
        <v>522</v>
      </c>
      <c r="H247" s="98" t="s">
        <v>1773</v>
      </c>
      <c r="I247" s="67">
        <v>1848</v>
      </c>
      <c r="J247" s="146" t="s">
        <v>634</v>
      </c>
      <c r="K247" s="71" t="s">
        <v>669</v>
      </c>
      <c r="L247" s="71" t="s">
        <v>664</v>
      </c>
      <c r="M247" s="71" t="s">
        <v>666</v>
      </c>
      <c r="N247" s="147">
        <v>15700005</v>
      </c>
      <c r="O247" s="76">
        <f>VLOOKUP(N247,Humo!C:P,4,0)</f>
        <v>11839.4</v>
      </c>
      <c r="P247" s="77">
        <f>VLOOKUP(N247,Humo!C:P,6,0)</f>
        <v>18768.099999999999</v>
      </c>
      <c r="Q247" s="77">
        <f>VLOOKUP(N247,Humo!C:P,8,0)</f>
        <v>20484.599999999999</v>
      </c>
      <c r="R247" s="77">
        <f>VLOOKUP(N247,Humo!C:P,10,0)</f>
        <v>7260.3</v>
      </c>
      <c r="S247" s="77">
        <f>VLOOKUP(N247,Humo!C:P,12,0)</f>
        <v>9294.7999999999993</v>
      </c>
      <c r="T247" s="77">
        <f>VLOOKUP(N247,Humo!C:P,14,0)</f>
        <v>6156.8</v>
      </c>
      <c r="U247" s="77">
        <f>IFERROR(VLOOKUP(N247,'2026 iyul humo'!A:D,4,0),"0")/1000</f>
        <v>17455.650000000001</v>
      </c>
      <c r="V247" s="77"/>
      <c r="W247" s="77"/>
      <c r="X247" s="77"/>
      <c r="Y247" s="77"/>
      <c r="Z247" s="77"/>
      <c r="AA247" s="162">
        <f t="shared" si="6"/>
        <v>91259.65</v>
      </c>
      <c r="AB247" s="162"/>
      <c r="AC247" s="162"/>
      <c r="AD247" s="146" t="s">
        <v>1586</v>
      </c>
      <c r="AE247" s="148">
        <v>62805331</v>
      </c>
    </row>
    <row r="248" spans="1:31">
      <c r="A248" s="71" t="s">
        <v>273</v>
      </c>
      <c r="B248" s="72" t="s">
        <v>1763</v>
      </c>
      <c r="C248" s="68" t="s">
        <v>17</v>
      </c>
      <c r="D248" s="146" t="s">
        <v>616</v>
      </c>
      <c r="E248" s="105" t="s">
        <v>364</v>
      </c>
      <c r="F248" s="1" t="s">
        <v>475</v>
      </c>
      <c r="G248" s="146" t="s">
        <v>522</v>
      </c>
      <c r="H248" s="90" t="s">
        <v>1780</v>
      </c>
      <c r="I248" s="67">
        <v>1128.7</v>
      </c>
      <c r="J248" s="146" t="s">
        <v>635</v>
      </c>
      <c r="K248" s="71" t="s">
        <v>671</v>
      </c>
      <c r="L248" s="71" t="s">
        <v>673</v>
      </c>
      <c r="M248" s="71">
        <v>901121453</v>
      </c>
      <c r="N248" s="147">
        <v>22374</v>
      </c>
      <c r="O248" s="76">
        <f>VLOOKUP(N248,Uzcard!C:P,4,0)</f>
        <v>1865.2</v>
      </c>
      <c r="P248" s="76">
        <f>VLOOKUP(N248,Uzcard!C:P,6,0)</f>
        <v>3731.95</v>
      </c>
      <c r="Q248" s="76">
        <f>VLOOKUP(N248,Uzcard!C:P,8,0)</f>
        <v>2763.85</v>
      </c>
      <c r="R248" s="76">
        <f>VLOOKUP(N248,Uzcard!C:P,10,0)</f>
        <v>2990.35</v>
      </c>
      <c r="S248" s="76">
        <f>VLOOKUP(N248,Uzcard!C:P,12,0)</f>
        <v>1426.4</v>
      </c>
      <c r="T248" s="76">
        <f>VLOOKUP(N248,Uzcard!C:P,14,0)</f>
        <v>3300.25</v>
      </c>
      <c r="U248" s="172">
        <f>IFERROR(VLOOKUP(N248,'2026 iyul uzcard'!A:D,3,0),"0")/1000</f>
        <v>3789.1</v>
      </c>
      <c r="V248" s="172"/>
      <c r="W248" s="172"/>
      <c r="X248" s="172"/>
      <c r="Y248" s="172"/>
      <c r="Z248" s="172"/>
      <c r="AA248" s="162">
        <f t="shared" si="6"/>
        <v>19867.099999999999</v>
      </c>
      <c r="AB248" s="162"/>
      <c r="AC248" s="162"/>
      <c r="AD248" s="146" t="s">
        <v>1592</v>
      </c>
      <c r="AE248" s="148">
        <v>131315504.45999999</v>
      </c>
    </row>
    <row r="249" spans="1:31">
      <c r="A249" s="71" t="s">
        <v>274</v>
      </c>
      <c r="B249" s="72" t="s">
        <v>1763</v>
      </c>
      <c r="C249" s="68" t="s">
        <v>17</v>
      </c>
      <c r="D249" s="146" t="s">
        <v>616</v>
      </c>
      <c r="E249" s="105" t="s">
        <v>370</v>
      </c>
      <c r="F249" s="95" t="s">
        <v>371</v>
      </c>
      <c r="G249" s="146" t="s">
        <v>522</v>
      </c>
      <c r="H249" s="98" t="s">
        <v>1773</v>
      </c>
      <c r="I249" s="67">
        <v>1848</v>
      </c>
      <c r="J249" s="146" t="s">
        <v>636</v>
      </c>
      <c r="K249" s="71" t="s">
        <v>672</v>
      </c>
      <c r="L249" s="71" t="s">
        <v>673</v>
      </c>
      <c r="M249" s="71" t="s">
        <v>670</v>
      </c>
      <c r="N249" s="82" t="s">
        <v>617</v>
      </c>
      <c r="O249" s="76">
        <f>VLOOKUP(N249,Humo!C:P,4,0)</f>
        <v>4016.35</v>
      </c>
      <c r="P249" s="77">
        <f>VLOOKUP(N249,Humo!C:P,6,0)</f>
        <v>2876.8</v>
      </c>
      <c r="Q249" s="77">
        <f>VLOOKUP(N249,Humo!C:P,8,0)</f>
        <v>4772.45</v>
      </c>
      <c r="R249" s="77">
        <f>VLOOKUP(N249,Humo!C:P,10,0)</f>
        <v>2537.4</v>
      </c>
      <c r="S249" s="77">
        <f>VLOOKUP(N249,Humo!C:P,12,0)</f>
        <v>3047.35</v>
      </c>
      <c r="T249" s="77">
        <f>VLOOKUP(N249,Humo!C:P,14,0)</f>
        <v>3940.05</v>
      </c>
      <c r="U249" s="77">
        <f>IFERROR(VLOOKUP(N249,'2026 iyul humo'!A:D,4,0),"0")/1000</f>
        <v>2293.5</v>
      </c>
      <c r="V249" s="77"/>
      <c r="W249" s="77"/>
      <c r="X249" s="77"/>
      <c r="Y249" s="77"/>
      <c r="Z249" s="77"/>
      <c r="AA249" s="162">
        <f t="shared" si="6"/>
        <v>23483.899999999998</v>
      </c>
      <c r="AB249" s="162"/>
      <c r="AC249" s="162"/>
      <c r="AD249" s="146" t="s">
        <v>1537</v>
      </c>
      <c r="AE249" s="148">
        <v>62805331</v>
      </c>
    </row>
    <row r="250" spans="1:31">
      <c r="A250" s="71" t="s">
        <v>275</v>
      </c>
      <c r="B250" s="72" t="s">
        <v>1763</v>
      </c>
      <c r="C250" s="68" t="s">
        <v>17</v>
      </c>
      <c r="D250" s="146" t="s">
        <v>618</v>
      </c>
      <c r="E250" s="105" t="s">
        <v>364</v>
      </c>
      <c r="F250" s="1" t="s">
        <v>475</v>
      </c>
      <c r="G250" s="146" t="s">
        <v>522</v>
      </c>
      <c r="H250" s="90" t="s">
        <v>1780</v>
      </c>
      <c r="I250" s="67">
        <v>1128.7</v>
      </c>
      <c r="J250" s="146" t="s">
        <v>637</v>
      </c>
      <c r="K250" s="71" t="s">
        <v>668</v>
      </c>
      <c r="L250" s="71" t="s">
        <v>674</v>
      </c>
      <c r="M250" s="71">
        <v>90110029605</v>
      </c>
      <c r="N250" s="147">
        <v>31267</v>
      </c>
      <c r="O250" s="76">
        <f>VLOOKUP(N250,Uzcard!C:P,4,0)</f>
        <v>0</v>
      </c>
      <c r="P250" s="76">
        <f>VLOOKUP(N250,Uzcard!C:P,6,0)</f>
        <v>100</v>
      </c>
      <c r="Q250" s="76">
        <f>VLOOKUP(N250,Uzcard!C:P,8,0)</f>
        <v>210.75</v>
      </c>
      <c r="R250" s="76">
        <f>VLOOKUP(N250,Uzcard!C:P,10,0)</f>
        <v>63.6</v>
      </c>
      <c r="S250" s="76">
        <f>VLOOKUP(N250,Uzcard!C:P,12,0)</f>
        <v>108.05</v>
      </c>
      <c r="T250" s="76">
        <f>VLOOKUP(N250,Uzcard!C:P,14,0)</f>
        <v>255.1</v>
      </c>
      <c r="U250" s="172">
        <f>IFERROR(VLOOKUP(N250,'2026 iyul uzcard'!A:D,3,0),"0")/1000</f>
        <v>336.8</v>
      </c>
      <c r="V250" s="172"/>
      <c r="W250" s="172"/>
      <c r="X250" s="172"/>
      <c r="Y250" s="172"/>
      <c r="Z250" s="172"/>
      <c r="AA250" s="162">
        <f t="shared" si="6"/>
        <v>1074.3</v>
      </c>
      <c r="AB250" s="162"/>
      <c r="AC250" s="162"/>
      <c r="AD250" s="146" t="s">
        <v>1503</v>
      </c>
      <c r="AE250" s="148">
        <v>105827950</v>
      </c>
    </row>
    <row r="251" spans="1:31" s="89" customFormat="1">
      <c r="A251" s="71" t="s">
        <v>276</v>
      </c>
      <c r="B251" s="72" t="s">
        <v>1763</v>
      </c>
      <c r="C251" s="69" t="s">
        <v>17</v>
      </c>
      <c r="D251" s="149" t="s">
        <v>620</v>
      </c>
      <c r="E251" s="149" t="s">
        <v>370</v>
      </c>
      <c r="F251" s="1" t="s">
        <v>475</v>
      </c>
      <c r="G251" s="149" t="s">
        <v>522</v>
      </c>
      <c r="H251" s="99" t="s">
        <v>1773</v>
      </c>
      <c r="I251" s="67">
        <v>1848</v>
      </c>
      <c r="J251" s="149" t="s">
        <v>638</v>
      </c>
      <c r="K251" s="79" t="s">
        <v>677</v>
      </c>
      <c r="L251" s="79" t="s">
        <v>678</v>
      </c>
      <c r="M251" s="79" t="s">
        <v>676</v>
      </c>
      <c r="N251" s="87" t="s">
        <v>621</v>
      </c>
      <c r="O251" s="76">
        <f>VLOOKUP(N251,Humo!C:P,4,0)</f>
        <v>189.4</v>
      </c>
      <c r="P251" s="77">
        <f>VLOOKUP(N251,Humo!C:P,6,0)</f>
        <v>3756.1</v>
      </c>
      <c r="Q251" s="77">
        <f>VLOOKUP(N251,Humo!C:P,8,0)</f>
        <v>5414.7</v>
      </c>
      <c r="R251" s="77">
        <f>VLOOKUP(N251,Humo!C:P,10,0)</f>
        <v>5648.1</v>
      </c>
      <c r="S251" s="77">
        <f>VLOOKUP(N251,Humo!C:P,12,0)</f>
        <v>4826.5</v>
      </c>
      <c r="T251" s="77">
        <f>VLOOKUP(N251,Humo!C:P,14,0)</f>
        <v>10247.4</v>
      </c>
      <c r="U251" s="77">
        <f>IFERROR(VLOOKUP(N251,'2026 iyul humo'!A:D,4,0),"0")/1000</f>
        <v>10543.7</v>
      </c>
      <c r="V251" s="77"/>
      <c r="W251" s="77"/>
      <c r="X251" s="77"/>
      <c r="Y251" s="77"/>
      <c r="Z251" s="77"/>
      <c r="AA251" s="162">
        <f t="shared" si="6"/>
        <v>40625.900000000009</v>
      </c>
      <c r="AB251" s="162"/>
      <c r="AC251" s="162"/>
      <c r="AD251" s="149" t="s">
        <v>1588</v>
      </c>
      <c r="AE251" s="150">
        <v>105827950</v>
      </c>
    </row>
    <row r="252" spans="1:31">
      <c r="A252" s="71" t="s">
        <v>277</v>
      </c>
      <c r="B252" s="72" t="s">
        <v>1763</v>
      </c>
      <c r="C252" s="68" t="s">
        <v>17</v>
      </c>
      <c r="D252" s="83" t="s">
        <v>1411</v>
      </c>
      <c r="E252" s="83" t="s">
        <v>364</v>
      </c>
      <c r="F252" s="1" t="s">
        <v>1162</v>
      </c>
      <c r="G252" s="146" t="s">
        <v>522</v>
      </c>
      <c r="H252" s="1" t="s">
        <v>1780</v>
      </c>
      <c r="I252" s="67">
        <v>1128.7</v>
      </c>
      <c r="J252" s="146" t="s">
        <v>1414</v>
      </c>
      <c r="K252" s="71" t="s">
        <v>1415</v>
      </c>
      <c r="L252" s="71" t="s">
        <v>1416</v>
      </c>
      <c r="M252" s="71">
        <v>90110037819</v>
      </c>
      <c r="N252" s="147">
        <v>39743</v>
      </c>
      <c r="O252" s="76">
        <f>VLOOKUP(N252,Uzcard!C:P,4,0)</f>
        <v>0</v>
      </c>
      <c r="P252" s="76">
        <f>VLOOKUP(N252,Uzcard!C:P,6,0)</f>
        <v>0</v>
      </c>
      <c r="Q252" s="76">
        <f>VLOOKUP(N252,Uzcard!C:P,8,0)</f>
        <v>0</v>
      </c>
      <c r="R252" s="76">
        <f>VLOOKUP(N252,Uzcard!C:P,10,0)</f>
        <v>0</v>
      </c>
      <c r="S252" s="76">
        <f>VLOOKUP(N252,Uzcard!C:P,12,0)</f>
        <v>0</v>
      </c>
      <c r="T252" s="76">
        <f>VLOOKUP(N252,Uzcard!C:P,14,0)</f>
        <v>5567.45</v>
      </c>
      <c r="U252" s="172">
        <f>IFERROR(VLOOKUP(N252,'2026 iyul uzcard'!A:D,3,0),"0")/1000</f>
        <v>14633.5</v>
      </c>
      <c r="V252" s="172"/>
      <c r="W252" s="172"/>
      <c r="X252" s="172"/>
      <c r="Y252" s="172"/>
      <c r="Z252" s="172"/>
      <c r="AA252" s="162">
        <f t="shared" si="6"/>
        <v>20200.95</v>
      </c>
      <c r="AB252" s="162"/>
      <c r="AC252" s="162"/>
      <c r="AD252" s="146" t="s">
        <v>1501</v>
      </c>
      <c r="AE252" s="148">
        <v>362504800</v>
      </c>
    </row>
    <row r="253" spans="1:31">
      <c r="A253" s="71" t="s">
        <v>278</v>
      </c>
      <c r="B253" s="72" t="s">
        <v>1763</v>
      </c>
      <c r="C253" s="68" t="s">
        <v>17</v>
      </c>
      <c r="D253" s="164" t="s">
        <v>24</v>
      </c>
      <c r="E253" s="105" t="s">
        <v>364</v>
      </c>
      <c r="F253" s="1" t="s">
        <v>474</v>
      </c>
      <c r="G253" s="146" t="s">
        <v>491</v>
      </c>
      <c r="H253" s="146"/>
      <c r="I253" s="146"/>
      <c r="J253" s="146" t="s">
        <v>622</v>
      </c>
      <c r="K253" s="71" t="s">
        <v>639</v>
      </c>
      <c r="L253" s="71" t="s">
        <v>641</v>
      </c>
      <c r="M253" s="146" t="s">
        <v>640</v>
      </c>
      <c r="N253" s="147">
        <v>15022</v>
      </c>
      <c r="O253" s="76">
        <f>VLOOKUP(N253,Uzcard!C:P,4,0)</f>
        <v>535.25</v>
      </c>
      <c r="P253" s="76">
        <f>VLOOKUP(N253,Uzcard!C:P,6,0)</f>
        <v>5989.25</v>
      </c>
      <c r="Q253" s="76">
        <f>VLOOKUP(N253,Uzcard!C:P,8,0)</f>
        <v>8389.7999999999993</v>
      </c>
      <c r="R253" s="76">
        <f>VLOOKUP(N253,Uzcard!C:P,10,0)</f>
        <v>6491.25</v>
      </c>
      <c r="S253" s="76">
        <f>VLOOKUP(N253,Uzcard!C:P,12,0)</f>
        <v>6688.35</v>
      </c>
      <c r="T253" s="76">
        <f>VLOOKUP(N253,Uzcard!C:P,14,0)</f>
        <v>2909.95</v>
      </c>
      <c r="U253" s="172">
        <f>IFERROR(VLOOKUP(N253,'2026 iyul uzcard'!A:D,3,0),"0")/1000</f>
        <v>1889.55</v>
      </c>
      <c r="V253" s="172"/>
      <c r="W253" s="172"/>
      <c r="X253" s="172"/>
      <c r="Y253" s="172"/>
      <c r="Z253" s="172"/>
      <c r="AA253" s="162">
        <f t="shared" ref="AA253:AA254" si="7">+SUM(O253:Z253)</f>
        <v>32893.4</v>
      </c>
      <c r="AB253" s="162"/>
      <c r="AC253" s="162"/>
      <c r="AD253" s="146" t="s">
        <v>1590</v>
      </c>
      <c r="AE253" s="148">
        <v>108319139.8</v>
      </c>
    </row>
    <row r="254" spans="1:31">
      <c r="A254" s="71" t="s">
        <v>279</v>
      </c>
      <c r="B254" s="72" t="s">
        <v>1763</v>
      </c>
      <c r="C254" s="68" t="s">
        <v>17</v>
      </c>
      <c r="D254" s="164" t="s">
        <v>24</v>
      </c>
      <c r="E254" s="105" t="s">
        <v>364</v>
      </c>
      <c r="F254" s="1" t="s">
        <v>474</v>
      </c>
      <c r="G254" s="146" t="s">
        <v>491</v>
      </c>
      <c r="H254" s="146"/>
      <c r="I254" s="146"/>
      <c r="J254" s="146" t="s">
        <v>628</v>
      </c>
      <c r="K254" s="71" t="s">
        <v>656</v>
      </c>
      <c r="L254" s="71" t="s">
        <v>655</v>
      </c>
      <c r="M254" s="71">
        <v>901117288</v>
      </c>
      <c r="N254" s="147">
        <v>18095</v>
      </c>
      <c r="O254" s="76">
        <f>VLOOKUP(N254,Uzcard!C:P,4,0)</f>
        <v>0</v>
      </c>
      <c r="P254" s="76">
        <f>VLOOKUP(N254,Uzcard!C:P,6,0)</f>
        <v>0</v>
      </c>
      <c r="Q254" s="76">
        <f>VLOOKUP(N254,Uzcard!C:P,8,0)</f>
        <v>0</v>
      </c>
      <c r="R254" s="76">
        <f>VLOOKUP(N254,Uzcard!C:P,10,0)</f>
        <v>0</v>
      </c>
      <c r="S254" s="76">
        <f>VLOOKUP(N254,Uzcard!C:P,12,0)</f>
        <v>0</v>
      </c>
      <c r="T254" s="76">
        <f>VLOOKUP(N254,Uzcard!C:P,14,0)</f>
        <v>0</v>
      </c>
      <c r="U254" s="172">
        <f>IFERROR(VLOOKUP(N254,'2026 iyul uzcard'!A:D,3,0),"0")/1000</f>
        <v>0</v>
      </c>
      <c r="V254" s="172"/>
      <c r="W254" s="172"/>
      <c r="X254" s="172"/>
      <c r="Y254" s="172"/>
      <c r="Z254" s="172"/>
      <c r="AA254" s="162">
        <f t="shared" si="7"/>
        <v>0</v>
      </c>
      <c r="AB254" s="162"/>
      <c r="AC254" s="162"/>
      <c r="AD254" s="146" t="s">
        <v>1587</v>
      </c>
      <c r="AE254" s="148">
        <v>100458192.72</v>
      </c>
    </row>
    <row r="255" spans="1:31">
      <c r="A255" s="71" t="s">
        <v>280</v>
      </c>
      <c r="B255" s="72" t="s">
        <v>1763</v>
      </c>
      <c r="C255" s="68" t="s">
        <v>17</v>
      </c>
      <c r="D255" s="164" t="s">
        <v>24</v>
      </c>
      <c r="E255" s="105" t="s">
        <v>381</v>
      </c>
      <c r="F255" s="93" t="s">
        <v>382</v>
      </c>
      <c r="G255" s="94" t="s">
        <v>491</v>
      </c>
      <c r="H255" s="94"/>
      <c r="I255" s="94"/>
      <c r="J255" s="79">
        <v>619339</v>
      </c>
      <c r="K255" s="71" t="s">
        <v>644</v>
      </c>
      <c r="L255" s="71" t="s">
        <v>641</v>
      </c>
      <c r="M255" s="146" t="s">
        <v>606</v>
      </c>
      <c r="N255" s="82" t="s">
        <v>606</v>
      </c>
      <c r="O255" s="76">
        <f>IFERROR(VLOOKUP(N255,'2026 yanvar vash'!A:D,4,0),"0")/1000</f>
        <v>0</v>
      </c>
      <c r="P255" s="173">
        <f>IFERROR(VLOOKUP(N255,'2026 fevral vash'!A:D,4,0),"0")/1000</f>
        <v>0</v>
      </c>
      <c r="Q255" s="173">
        <f>IFERROR(VLOOKUP(N255,'2026 mart vash'!A:D,4,0),"0")/1000</f>
        <v>0</v>
      </c>
      <c r="R255" s="173">
        <f>IFERROR(VLOOKUP(N255,'2026 aprel vash'!A:D,4,0),"0")/1000</f>
        <v>0</v>
      </c>
      <c r="S255" s="173">
        <f>IFERROR(VLOOKUP(N255,'2026 may vash'!A:D,4,0),"0")/1000</f>
        <v>0</v>
      </c>
      <c r="T255" s="173">
        <f>IFERROR(VLOOKUP(N255,'2026 iyun vash'!A:D,4,0),"0")/1000</f>
        <v>0</v>
      </c>
      <c r="U255" s="173">
        <f>IFERROR(VLOOKUP(N255,'2026 iyul vash'!A:D,4,0),"0")/1000</f>
        <v>0</v>
      </c>
      <c r="V255" s="173"/>
      <c r="W255" s="173"/>
      <c r="X255" s="173"/>
      <c r="Y255" s="173"/>
      <c r="Z255" s="173"/>
      <c r="AA255" s="162">
        <f t="shared" si="6"/>
        <v>0</v>
      </c>
      <c r="AB255" s="162"/>
      <c r="AC255" s="162"/>
      <c r="AD255" s="146" t="s">
        <v>1585</v>
      </c>
      <c r="AE255" s="148">
        <v>216557286.44999999</v>
      </c>
    </row>
    <row r="256" spans="1:31">
      <c r="A256" s="71" t="s">
        <v>281</v>
      </c>
      <c r="B256" s="72" t="s">
        <v>1763</v>
      </c>
      <c r="C256" s="68" t="s">
        <v>17</v>
      </c>
      <c r="D256" s="164" t="s">
        <v>24</v>
      </c>
      <c r="E256" s="105" t="s">
        <v>381</v>
      </c>
      <c r="F256" s="93" t="s">
        <v>382</v>
      </c>
      <c r="G256" s="94" t="s">
        <v>491</v>
      </c>
      <c r="H256" s="94"/>
      <c r="I256" s="94"/>
      <c r="J256" s="79">
        <v>119339</v>
      </c>
      <c r="K256" s="71" t="s">
        <v>654</v>
      </c>
      <c r="L256" s="71" t="s">
        <v>649</v>
      </c>
      <c r="M256" s="146" t="s">
        <v>610</v>
      </c>
      <c r="N256" s="82" t="s">
        <v>610</v>
      </c>
      <c r="O256" s="76">
        <f>IFERROR(VLOOKUP(N256,'2026 yanvar vash'!A:D,4,0),"0")/1000</f>
        <v>36.6</v>
      </c>
      <c r="P256" s="173">
        <f>IFERROR(VLOOKUP(N256,'2026 fevral vash'!A:D,4,0),"0")/1000</f>
        <v>20.16</v>
      </c>
      <c r="Q256" s="173">
        <f>IFERROR(VLOOKUP(N256,'2026 mart vash'!A:D,4,0),"0")/1000</f>
        <v>186.74</v>
      </c>
      <c r="R256" s="173">
        <f>IFERROR(VLOOKUP(N256,'2026 aprel vash'!A:D,4,0),"0")/1000</f>
        <v>0.6</v>
      </c>
      <c r="S256" s="173">
        <f>IFERROR(VLOOKUP(N256,'2026 may vash'!A:D,4,0),"0")/1000</f>
        <v>0</v>
      </c>
      <c r="T256" s="173">
        <f>IFERROR(VLOOKUP(N256,'2026 iyun vash'!A:D,4,0),"0")/1000</f>
        <v>0</v>
      </c>
      <c r="U256" s="173">
        <f>IFERROR(VLOOKUP(N256,'2026 iyul vash'!A:D,4,0),"0")/1000</f>
        <v>0</v>
      </c>
      <c r="V256" s="173"/>
      <c r="W256" s="173"/>
      <c r="X256" s="173"/>
      <c r="Y256" s="173"/>
      <c r="Z256" s="173"/>
      <c r="AA256" s="162">
        <f t="shared" si="6"/>
        <v>244.1</v>
      </c>
      <c r="AB256" s="162"/>
      <c r="AC256" s="162"/>
      <c r="AD256" s="146" t="s">
        <v>1568</v>
      </c>
      <c r="AE256" s="148">
        <v>216557286.44999999</v>
      </c>
    </row>
    <row r="257" spans="1:31">
      <c r="A257" s="71" t="s">
        <v>282</v>
      </c>
      <c r="B257" s="72" t="s">
        <v>1763</v>
      </c>
      <c r="C257" s="68" t="s">
        <v>17</v>
      </c>
      <c r="D257" s="164" t="s">
        <v>24</v>
      </c>
      <c r="E257" s="105" t="s">
        <v>381</v>
      </c>
      <c r="F257" s="93" t="s">
        <v>382</v>
      </c>
      <c r="G257" s="94" t="s">
        <v>491</v>
      </c>
      <c r="H257" s="94"/>
      <c r="I257" s="94"/>
      <c r="J257" s="79">
        <v>1718258</v>
      </c>
      <c r="K257" s="71" t="s">
        <v>675</v>
      </c>
      <c r="L257" s="71" t="s">
        <v>641</v>
      </c>
      <c r="M257" s="146" t="s">
        <v>619</v>
      </c>
      <c r="N257" s="82" t="s">
        <v>619</v>
      </c>
      <c r="O257" s="76">
        <f>IFERROR(VLOOKUP(N257,'2026 yanvar vash'!A:D,4,0),"0")/1000</f>
        <v>0</v>
      </c>
      <c r="P257" s="173">
        <f>IFERROR(VLOOKUP(N257,'2026 fevral vash'!A:D,4,0),"0")/1000</f>
        <v>0</v>
      </c>
      <c r="Q257" s="173">
        <f>IFERROR(VLOOKUP(N257,'2026 mart vash'!A:D,4,0),"0")/1000</f>
        <v>0</v>
      </c>
      <c r="R257" s="173">
        <f>IFERROR(VLOOKUP(N257,'2026 aprel vash'!A:D,4,0),"0")/1000</f>
        <v>0</v>
      </c>
      <c r="S257" s="173">
        <f>IFERROR(VLOOKUP(N257,'2026 may vash'!A:D,4,0),"0")/1000</f>
        <v>0</v>
      </c>
      <c r="T257" s="173">
        <f>IFERROR(VLOOKUP(N257,'2026 iyun vash'!A:D,4,0),"0")/1000</f>
        <v>0</v>
      </c>
      <c r="U257" s="173">
        <f>IFERROR(VLOOKUP(N257,'2026 iyul vash'!A:D,4,0),"0")/1000</f>
        <v>0</v>
      </c>
      <c r="V257" s="173"/>
      <c r="W257" s="173"/>
      <c r="X257" s="173"/>
      <c r="Y257" s="173"/>
      <c r="Z257" s="173"/>
      <c r="AA257" s="162">
        <f t="shared" si="6"/>
        <v>0</v>
      </c>
      <c r="AB257" s="162"/>
      <c r="AC257" s="162"/>
      <c r="AD257" s="146" t="s">
        <v>1584</v>
      </c>
      <c r="AE257" s="148">
        <v>171904842.81999999</v>
      </c>
    </row>
    <row r="258" spans="1:31">
      <c r="A258" s="71" t="s">
        <v>283</v>
      </c>
      <c r="B258" s="72" t="s">
        <v>1764</v>
      </c>
      <c r="C258" s="68" t="s">
        <v>18</v>
      </c>
      <c r="D258" s="105" t="s">
        <v>1243</v>
      </c>
      <c r="E258" s="105" t="s">
        <v>364</v>
      </c>
      <c r="F258" s="1" t="s">
        <v>474</v>
      </c>
      <c r="G258" s="1" t="s">
        <v>522</v>
      </c>
      <c r="H258" s="1"/>
      <c r="I258" s="1"/>
      <c r="J258" s="1" t="s">
        <v>1795</v>
      </c>
      <c r="K258" s="1" t="s">
        <v>368</v>
      </c>
      <c r="L258" s="151" t="s">
        <v>366</v>
      </c>
      <c r="M258" s="1" t="s">
        <v>369</v>
      </c>
      <c r="N258" s="50">
        <v>16939</v>
      </c>
      <c r="O258" s="76">
        <f>VLOOKUP(N258,Uzcard!C:P,4,0)</f>
        <v>12800.9</v>
      </c>
      <c r="P258" s="76">
        <f>VLOOKUP(N258,Uzcard!C:P,6,0)</f>
        <v>12584.3</v>
      </c>
      <c r="Q258" s="76">
        <f>VLOOKUP(N258,Uzcard!C:P,8,0)</f>
        <v>21090.45</v>
      </c>
      <c r="R258" s="76">
        <f>VLOOKUP(N258,Uzcard!C:P,10,0)</f>
        <v>13512.25</v>
      </c>
      <c r="S258" s="76">
        <f>VLOOKUP(N258,Uzcard!C:P,12,0)</f>
        <v>19433.55</v>
      </c>
      <c r="T258" s="76">
        <f>VLOOKUP(N258,Uzcard!C:P,14,0)</f>
        <v>12163.8</v>
      </c>
      <c r="U258" s="172">
        <f>IFERROR(VLOOKUP(N258,'2026 iyul uzcard'!A:D,3,0),"0")/1000</f>
        <v>13324.65</v>
      </c>
      <c r="V258" s="172"/>
      <c r="W258" s="172"/>
      <c r="X258" s="172"/>
      <c r="Y258" s="172"/>
      <c r="Z258" s="172"/>
      <c r="AA258" s="162">
        <f t="shared" si="6"/>
        <v>104909.9</v>
      </c>
      <c r="AB258" s="162"/>
      <c r="AC258" s="162"/>
      <c r="AD258" s="1" t="s">
        <v>1599</v>
      </c>
      <c r="AE258" s="7">
        <v>106507213.69</v>
      </c>
    </row>
    <row r="259" spans="1:31">
      <c r="A259" s="71" t="s">
        <v>284</v>
      </c>
      <c r="B259" s="72" t="s">
        <v>1764</v>
      </c>
      <c r="C259" s="68" t="s">
        <v>18</v>
      </c>
      <c r="D259" s="105" t="s">
        <v>1243</v>
      </c>
      <c r="E259" s="105" t="s">
        <v>370</v>
      </c>
      <c r="F259" s="95" t="s">
        <v>371</v>
      </c>
      <c r="G259" s="1" t="s">
        <v>522</v>
      </c>
      <c r="H259" s="1" t="s">
        <v>1773</v>
      </c>
      <c r="I259" s="67">
        <v>1848</v>
      </c>
      <c r="J259" s="1" t="s">
        <v>372</v>
      </c>
      <c r="K259" s="1" t="s">
        <v>373</v>
      </c>
      <c r="L259" s="151" t="s">
        <v>366</v>
      </c>
      <c r="M259" s="1" t="s">
        <v>374</v>
      </c>
      <c r="N259" s="50" t="s">
        <v>375</v>
      </c>
      <c r="O259" s="76">
        <f>VLOOKUP(N259,Humo!C:P,4,0)</f>
        <v>22026.6</v>
      </c>
      <c r="P259" s="77">
        <f>VLOOKUP(N259,Humo!C:P,6,0)</f>
        <v>15132.4</v>
      </c>
      <c r="Q259" s="77">
        <f>VLOOKUP(N259,Humo!C:P,8,0)</f>
        <v>25144.400000000001</v>
      </c>
      <c r="R259" s="77">
        <f>VLOOKUP(N259,Humo!C:P,10,0)</f>
        <v>27004.5</v>
      </c>
      <c r="S259" s="77">
        <f>VLOOKUP(N259,Humo!C:P,12,0)</f>
        <v>24706</v>
      </c>
      <c r="T259" s="77">
        <f>VLOOKUP(N259,Humo!C:P,14,0)</f>
        <v>18632.7</v>
      </c>
      <c r="U259" s="77">
        <f>IFERROR(VLOOKUP(N259,'2026 iyul humo'!A:D,4,0),"0")/1000</f>
        <v>20996</v>
      </c>
      <c r="V259" s="77"/>
      <c r="W259" s="77"/>
      <c r="X259" s="77"/>
      <c r="Y259" s="77"/>
      <c r="Z259" s="77"/>
      <c r="AA259" s="162">
        <f t="shared" ref="AA259:AA322" si="8">+SUM(O259:Z259)</f>
        <v>153642.6</v>
      </c>
      <c r="AB259" s="162"/>
      <c r="AC259" s="162"/>
      <c r="AD259" s="1" t="s">
        <v>1546</v>
      </c>
      <c r="AE259" s="7">
        <v>62805331</v>
      </c>
    </row>
    <row r="260" spans="1:31">
      <c r="A260" s="71" t="s">
        <v>285</v>
      </c>
      <c r="B260" s="72" t="s">
        <v>1764</v>
      </c>
      <c r="C260" s="68" t="s">
        <v>18</v>
      </c>
      <c r="D260" s="105" t="s">
        <v>1243</v>
      </c>
      <c r="E260" s="105" t="s">
        <v>370</v>
      </c>
      <c r="F260" s="1" t="s">
        <v>376</v>
      </c>
      <c r="G260" s="1" t="s">
        <v>522</v>
      </c>
      <c r="H260" s="1" t="s">
        <v>1773</v>
      </c>
      <c r="I260" s="67">
        <v>1848</v>
      </c>
      <c r="J260" s="1" t="s">
        <v>377</v>
      </c>
      <c r="K260" s="1" t="s">
        <v>378</v>
      </c>
      <c r="L260" s="151" t="s">
        <v>366</v>
      </c>
      <c r="M260" s="1" t="s">
        <v>379</v>
      </c>
      <c r="N260" s="50" t="s">
        <v>380</v>
      </c>
      <c r="O260" s="76">
        <f>VLOOKUP(N260,Humo!C:P,4,0)</f>
        <v>0</v>
      </c>
      <c r="P260" s="77">
        <f>VLOOKUP(N260,Humo!C:P,6,0)</f>
        <v>0</v>
      </c>
      <c r="Q260" s="77">
        <f>VLOOKUP(N260,Humo!C:P,8,0)</f>
        <v>0</v>
      </c>
      <c r="R260" s="77">
        <f>VLOOKUP(N260,Humo!C:P,10,0)</f>
        <v>0</v>
      </c>
      <c r="S260" s="77">
        <f>VLOOKUP(N260,Humo!C:P,12,0)</f>
        <v>0</v>
      </c>
      <c r="T260" s="77">
        <f>VLOOKUP(N260,Humo!C:P,14,0)</f>
        <v>4834.6000000000004</v>
      </c>
      <c r="U260" s="77">
        <f>IFERROR(VLOOKUP(N260,'2026 iyul humo'!A:D,4,0),"0")/1000</f>
        <v>13839.65</v>
      </c>
      <c r="V260" s="77"/>
      <c r="W260" s="77"/>
      <c r="X260" s="77"/>
      <c r="Y260" s="77"/>
      <c r="Z260" s="77"/>
      <c r="AA260" s="162">
        <f t="shared" si="8"/>
        <v>18674.25</v>
      </c>
      <c r="AB260" s="162"/>
      <c r="AC260" s="162"/>
      <c r="AD260" s="1" t="s">
        <v>1593</v>
      </c>
      <c r="AE260" s="7">
        <v>168243023</v>
      </c>
    </row>
    <row r="261" spans="1:31">
      <c r="A261" s="71" t="s">
        <v>286</v>
      </c>
      <c r="B261" s="72" t="s">
        <v>1764</v>
      </c>
      <c r="C261" s="68" t="s">
        <v>18</v>
      </c>
      <c r="D261" s="105" t="s">
        <v>1243</v>
      </c>
      <c r="E261" s="105" t="s">
        <v>364</v>
      </c>
      <c r="F261" s="1" t="s">
        <v>1162</v>
      </c>
      <c r="G261" s="1" t="s">
        <v>522</v>
      </c>
      <c r="H261" s="1" t="s">
        <v>1780</v>
      </c>
      <c r="I261" s="67">
        <v>1128.7</v>
      </c>
      <c r="J261" s="1" t="s">
        <v>1417</v>
      </c>
      <c r="K261" s="1" t="s">
        <v>1418</v>
      </c>
      <c r="L261" s="151" t="s">
        <v>1419</v>
      </c>
      <c r="M261" s="1" t="s">
        <v>1420</v>
      </c>
      <c r="N261" s="50">
        <v>40010</v>
      </c>
      <c r="O261" s="76">
        <f>VLOOKUP(N261,Uzcard!C:P,4,0)</f>
        <v>0</v>
      </c>
      <c r="P261" s="76">
        <f>VLOOKUP(N261,Uzcard!C:P,6,0)</f>
        <v>0</v>
      </c>
      <c r="Q261" s="76">
        <f>VLOOKUP(N261,Uzcard!C:P,8,0)</f>
        <v>0</v>
      </c>
      <c r="R261" s="76">
        <f>VLOOKUP(N261,Uzcard!C:P,10,0)</f>
        <v>0</v>
      </c>
      <c r="S261" s="76">
        <f>VLOOKUP(N261,Uzcard!C:P,12,0)</f>
        <v>0</v>
      </c>
      <c r="T261" s="76">
        <f>VLOOKUP(N261,Uzcard!C:P,14,0)</f>
        <v>0</v>
      </c>
      <c r="U261" s="172">
        <f>IFERROR(VLOOKUP(N261,'2026 iyul uzcard'!A:D,3,0),"0")/1000</f>
        <v>13471.5</v>
      </c>
      <c r="V261" s="172"/>
      <c r="W261" s="172"/>
      <c r="X261" s="172"/>
      <c r="Y261" s="172"/>
      <c r="Z261" s="172"/>
      <c r="AA261" s="162">
        <f t="shared" si="8"/>
        <v>13471.5</v>
      </c>
      <c r="AB261" s="162"/>
      <c r="AC261" s="162"/>
      <c r="AD261" s="1" t="s">
        <v>1501</v>
      </c>
      <c r="AE261" s="7">
        <v>362504800</v>
      </c>
    </row>
    <row r="262" spans="1:31">
      <c r="A262" s="71" t="s">
        <v>287</v>
      </c>
      <c r="B262" s="72" t="s">
        <v>1764</v>
      </c>
      <c r="C262" s="68" t="s">
        <v>18</v>
      </c>
      <c r="D262" s="105" t="s">
        <v>385</v>
      </c>
      <c r="E262" s="108" t="s">
        <v>370</v>
      </c>
      <c r="F262" s="95" t="s">
        <v>371</v>
      </c>
      <c r="G262" s="1" t="s">
        <v>522</v>
      </c>
      <c r="H262" s="1" t="s">
        <v>1773</v>
      </c>
      <c r="I262" s="67">
        <v>1848</v>
      </c>
      <c r="J262" s="1" t="s">
        <v>400</v>
      </c>
      <c r="K262" s="1" t="s">
        <v>401</v>
      </c>
      <c r="L262" s="151" t="s">
        <v>387</v>
      </c>
      <c r="M262" s="1" t="s">
        <v>402</v>
      </c>
      <c r="N262" s="50" t="s">
        <v>403</v>
      </c>
      <c r="O262" s="76">
        <f>VLOOKUP(N262,Humo!C:P,4,0)</f>
        <v>0</v>
      </c>
      <c r="P262" s="77">
        <f>VLOOKUP(N262,Humo!C:P,6,0)</f>
        <v>0</v>
      </c>
      <c r="Q262" s="77">
        <f>VLOOKUP(N262,Humo!C:P,8,0)</f>
        <v>0</v>
      </c>
      <c r="R262" s="77">
        <f>VLOOKUP(N262,Humo!C:P,10,0)</f>
        <v>0</v>
      </c>
      <c r="S262" s="77">
        <f>VLOOKUP(N262,Humo!C:P,12,0)</f>
        <v>0</v>
      </c>
      <c r="T262" s="77">
        <f>VLOOKUP(N262,Humo!C:P,14,0)</f>
        <v>0</v>
      </c>
      <c r="U262" s="77">
        <f>IFERROR(VLOOKUP(N262,'2026 iyul humo'!A:D,4,0),"0")/1000</f>
        <v>73.5</v>
      </c>
      <c r="V262" s="77"/>
      <c r="W262" s="77"/>
      <c r="X262" s="77"/>
      <c r="Y262" s="77"/>
      <c r="Z262" s="77"/>
      <c r="AA262" s="162">
        <f t="shared" si="8"/>
        <v>73.5</v>
      </c>
      <c r="AB262" s="162"/>
      <c r="AC262" s="162"/>
      <c r="AD262" s="1" t="s">
        <v>1546</v>
      </c>
      <c r="AE262" s="7">
        <v>62805331</v>
      </c>
    </row>
    <row r="263" spans="1:31">
      <c r="A263" s="71" t="s">
        <v>288</v>
      </c>
      <c r="B263" s="72" t="s">
        <v>1764</v>
      </c>
      <c r="C263" s="68" t="s">
        <v>18</v>
      </c>
      <c r="D263" s="105" t="s">
        <v>385</v>
      </c>
      <c r="E263" s="105" t="s">
        <v>364</v>
      </c>
      <c r="F263" s="1" t="s">
        <v>474</v>
      </c>
      <c r="G263" s="1" t="s">
        <v>522</v>
      </c>
      <c r="H263" s="1"/>
      <c r="I263" s="1"/>
      <c r="J263" s="13" t="s">
        <v>1796</v>
      </c>
      <c r="K263" s="152" t="s">
        <v>389</v>
      </c>
      <c r="L263" s="151" t="s">
        <v>387</v>
      </c>
      <c r="M263" s="152">
        <v>901117408</v>
      </c>
      <c r="N263" s="75">
        <v>18223</v>
      </c>
      <c r="O263" s="76">
        <f>VLOOKUP(N263,Uzcard!C:P,4,0)</f>
        <v>0</v>
      </c>
      <c r="P263" s="76">
        <f>VLOOKUP(N263,Uzcard!C:P,6,0)</f>
        <v>35</v>
      </c>
      <c r="Q263" s="76">
        <f>VLOOKUP(N263,Uzcard!C:P,8,0)</f>
        <v>214.2</v>
      </c>
      <c r="R263" s="76">
        <f>VLOOKUP(N263,Uzcard!C:P,10,0)</f>
        <v>0</v>
      </c>
      <c r="S263" s="76">
        <f>VLOOKUP(N263,Uzcard!C:P,12,0)</f>
        <v>0</v>
      </c>
      <c r="T263" s="76">
        <f>VLOOKUP(N263,Uzcard!C:P,14,0)</f>
        <v>0</v>
      </c>
      <c r="U263" s="172">
        <f>IFERROR(VLOOKUP(N263,'2026 iyul uzcard'!A:D,3,0),"0")/1000</f>
        <v>0</v>
      </c>
      <c r="V263" s="172"/>
      <c r="W263" s="172"/>
      <c r="X263" s="172"/>
      <c r="Y263" s="172"/>
      <c r="Z263" s="172"/>
      <c r="AA263" s="162">
        <f t="shared" si="8"/>
        <v>249.2</v>
      </c>
      <c r="AB263" s="162"/>
      <c r="AC263" s="162"/>
      <c r="AD263" s="1" t="s">
        <v>1595</v>
      </c>
      <c r="AE263" s="7">
        <v>100458192.72</v>
      </c>
    </row>
    <row r="264" spans="1:31">
      <c r="A264" s="71" t="s">
        <v>289</v>
      </c>
      <c r="B264" s="72" t="s">
        <v>1764</v>
      </c>
      <c r="C264" s="68" t="s">
        <v>18</v>
      </c>
      <c r="D264" s="105" t="s">
        <v>385</v>
      </c>
      <c r="E264" s="105" t="s">
        <v>370</v>
      </c>
      <c r="F264" s="95" t="s">
        <v>371</v>
      </c>
      <c r="G264" s="1" t="s">
        <v>522</v>
      </c>
      <c r="H264" s="1" t="s">
        <v>1773</v>
      </c>
      <c r="I264" s="67">
        <v>1848</v>
      </c>
      <c r="J264" s="1" t="s">
        <v>390</v>
      </c>
      <c r="K264" s="1" t="s">
        <v>391</v>
      </c>
      <c r="L264" s="151" t="s">
        <v>387</v>
      </c>
      <c r="M264" s="1" t="s">
        <v>392</v>
      </c>
      <c r="N264" s="50" t="s">
        <v>393</v>
      </c>
      <c r="O264" s="76">
        <f>VLOOKUP(N264,Humo!C:P,4,0)</f>
        <v>21272.799999999999</v>
      </c>
      <c r="P264" s="77">
        <f>VLOOKUP(N264,Humo!C:P,6,0)</f>
        <v>14487.1</v>
      </c>
      <c r="Q264" s="77">
        <f>VLOOKUP(N264,Humo!C:P,8,0)</f>
        <v>17148.099999999999</v>
      </c>
      <c r="R264" s="77">
        <f>VLOOKUP(N264,Humo!C:P,10,0)</f>
        <v>26133.599999999999</v>
      </c>
      <c r="S264" s="77">
        <f>VLOOKUP(N264,Humo!C:P,12,0)</f>
        <v>25414</v>
      </c>
      <c r="T264" s="77">
        <f>VLOOKUP(N264,Humo!C:P,14,0)</f>
        <v>18358.099999999999</v>
      </c>
      <c r="U264" s="77">
        <f>IFERROR(VLOOKUP(N264,'2026 iyul humo'!A:D,4,0),"0")/1000</f>
        <v>25000.7</v>
      </c>
      <c r="V264" s="77"/>
      <c r="W264" s="77"/>
      <c r="X264" s="77"/>
      <c r="Y264" s="77"/>
      <c r="Z264" s="77"/>
      <c r="AA264" s="162">
        <f t="shared" si="8"/>
        <v>147814.40000000002</v>
      </c>
      <c r="AB264" s="162"/>
      <c r="AC264" s="162"/>
      <c r="AD264" s="1" t="s">
        <v>1546</v>
      </c>
      <c r="AE264" s="7">
        <v>62805331</v>
      </c>
    </row>
    <row r="265" spans="1:31">
      <c r="A265" s="71" t="s">
        <v>290</v>
      </c>
      <c r="B265" s="72" t="s">
        <v>1764</v>
      </c>
      <c r="C265" s="68" t="s">
        <v>18</v>
      </c>
      <c r="D265" s="105" t="s">
        <v>396</v>
      </c>
      <c r="E265" s="108" t="s">
        <v>364</v>
      </c>
      <c r="F265" s="1" t="s">
        <v>475</v>
      </c>
      <c r="G265" s="1" t="s">
        <v>522</v>
      </c>
      <c r="H265" s="1" t="s">
        <v>1780</v>
      </c>
      <c r="I265" s="67">
        <v>1128.7</v>
      </c>
      <c r="J265" s="1" t="s">
        <v>1781</v>
      </c>
      <c r="K265" s="1" t="s">
        <v>397</v>
      </c>
      <c r="L265" s="151" t="s">
        <v>398</v>
      </c>
      <c r="M265" s="1" t="s">
        <v>399</v>
      </c>
      <c r="N265" s="50">
        <v>21958</v>
      </c>
      <c r="O265" s="76">
        <f>VLOOKUP(N265,Uzcard!C:P,4,0)</f>
        <v>688.05</v>
      </c>
      <c r="P265" s="76">
        <f>VLOOKUP(N265,Uzcard!C:P,6,0)</f>
        <v>0</v>
      </c>
      <c r="Q265" s="76">
        <f>VLOOKUP(N265,Uzcard!C:P,8,0)</f>
        <v>0</v>
      </c>
      <c r="R265" s="76">
        <f>VLOOKUP(N265,Uzcard!C:P,10,0)</f>
        <v>0</v>
      </c>
      <c r="S265" s="76">
        <f>VLOOKUP(N265,Uzcard!C:P,12,0)</f>
        <v>0</v>
      </c>
      <c r="T265" s="76">
        <f>VLOOKUP(N265,Uzcard!C:P,14,0)</f>
        <v>0</v>
      </c>
      <c r="U265" s="172">
        <f>IFERROR(VLOOKUP(N265,'2026 iyul uzcard'!A:D,3,0),"0")/1000</f>
        <v>0</v>
      </c>
      <c r="V265" s="172"/>
      <c r="W265" s="172"/>
      <c r="X265" s="172"/>
      <c r="Y265" s="172"/>
      <c r="Z265" s="172"/>
      <c r="AA265" s="162">
        <f t="shared" si="8"/>
        <v>688.05</v>
      </c>
      <c r="AB265" s="162"/>
      <c r="AC265" s="162"/>
      <c r="AD265" s="1" t="s">
        <v>1596</v>
      </c>
      <c r="AE265" s="7">
        <v>131315497</v>
      </c>
    </row>
    <row r="266" spans="1:31">
      <c r="A266" s="71" t="s">
        <v>291</v>
      </c>
      <c r="B266" s="72" t="s">
        <v>1764</v>
      </c>
      <c r="C266" s="68" t="s">
        <v>18</v>
      </c>
      <c r="D266" s="105" t="s">
        <v>406</v>
      </c>
      <c r="E266" s="105" t="s">
        <v>364</v>
      </c>
      <c r="F266" s="1" t="s">
        <v>474</v>
      </c>
      <c r="G266" s="1" t="s">
        <v>522</v>
      </c>
      <c r="H266" s="1"/>
      <c r="I266" s="1"/>
      <c r="J266" s="1" t="s">
        <v>1797</v>
      </c>
      <c r="K266" s="1" t="s">
        <v>1600</v>
      </c>
      <c r="L266" s="151" t="s">
        <v>407</v>
      </c>
      <c r="M266" s="1" t="s">
        <v>408</v>
      </c>
      <c r="N266" s="50">
        <v>19730</v>
      </c>
      <c r="O266" s="76">
        <f>VLOOKUP(N266,Uzcard!C:P,4,0)</f>
        <v>6594.6</v>
      </c>
      <c r="P266" s="76">
        <f>VLOOKUP(N266,Uzcard!C:P,6,0)</f>
        <v>3664.7</v>
      </c>
      <c r="Q266" s="76">
        <f>VLOOKUP(N266,Uzcard!C:P,8,0)</f>
        <v>7359.3</v>
      </c>
      <c r="R266" s="76">
        <f>VLOOKUP(N266,Uzcard!C:P,10,0)</f>
        <v>13390.2</v>
      </c>
      <c r="S266" s="76">
        <f>VLOOKUP(N266,Uzcard!C:P,12,0)</f>
        <v>21543.8</v>
      </c>
      <c r="T266" s="76">
        <f>VLOOKUP(N266,Uzcard!C:P,14,0)</f>
        <v>13818.75</v>
      </c>
      <c r="U266" s="172">
        <f>IFERROR(VLOOKUP(N266,'2026 iyul uzcard'!A:D,3,0),"0")/1000</f>
        <v>15070.35</v>
      </c>
      <c r="V266" s="172"/>
      <c r="W266" s="172"/>
      <c r="X266" s="172"/>
      <c r="Y266" s="172"/>
      <c r="Z266" s="172"/>
      <c r="AA266" s="162">
        <f t="shared" si="8"/>
        <v>81441.700000000012</v>
      </c>
      <c r="AB266" s="162"/>
      <c r="AC266" s="162"/>
      <c r="AD266" s="1" t="s">
        <v>1601</v>
      </c>
      <c r="AE266" s="7">
        <v>100458192.72</v>
      </c>
    </row>
    <row r="267" spans="1:31">
      <c r="A267" s="71" t="s">
        <v>292</v>
      </c>
      <c r="B267" s="72" t="s">
        <v>1764</v>
      </c>
      <c r="C267" s="68" t="s">
        <v>18</v>
      </c>
      <c r="D267" s="105" t="s">
        <v>406</v>
      </c>
      <c r="E267" s="105" t="s">
        <v>370</v>
      </c>
      <c r="F267" s="95" t="s">
        <v>371</v>
      </c>
      <c r="G267" s="1" t="s">
        <v>522</v>
      </c>
      <c r="H267" s="1" t="s">
        <v>1773</v>
      </c>
      <c r="I267" s="67">
        <v>1848</v>
      </c>
      <c r="J267" s="1" t="s">
        <v>1775</v>
      </c>
      <c r="K267" s="1" t="s">
        <v>409</v>
      </c>
      <c r="L267" s="151" t="s">
        <v>407</v>
      </c>
      <c r="M267" s="1" t="s">
        <v>410</v>
      </c>
      <c r="N267" s="50" t="s">
        <v>411</v>
      </c>
      <c r="O267" s="76">
        <f>VLOOKUP(N267,Humo!C:P,4,0)</f>
        <v>12872.4</v>
      </c>
      <c r="P267" s="77">
        <f>VLOOKUP(N267,Humo!C:P,6,0)</f>
        <v>8283.7000000000007</v>
      </c>
      <c r="Q267" s="77">
        <f>VLOOKUP(N267,Humo!C:P,8,0)</f>
        <v>11237.3</v>
      </c>
      <c r="R267" s="77">
        <f>VLOOKUP(N267,Humo!C:P,10,0)</f>
        <v>6530.6</v>
      </c>
      <c r="S267" s="77">
        <f>VLOOKUP(N267,Humo!C:P,12,0)</f>
        <v>2019</v>
      </c>
      <c r="T267" s="77">
        <f>VLOOKUP(N267,Humo!C:P,14,0)</f>
        <v>6328.8</v>
      </c>
      <c r="U267" s="77">
        <f>IFERROR(VLOOKUP(N267,'2026 iyul humo'!A:D,4,0),"0")/1000</f>
        <v>14777.85</v>
      </c>
      <c r="V267" s="77"/>
      <c r="W267" s="77"/>
      <c r="X267" s="77"/>
      <c r="Y267" s="77"/>
      <c r="Z267" s="77"/>
      <c r="AA267" s="162">
        <f t="shared" si="8"/>
        <v>62049.65</v>
      </c>
      <c r="AB267" s="162"/>
      <c r="AC267" s="162"/>
      <c r="AD267" s="1" t="s">
        <v>1546</v>
      </c>
      <c r="AE267" s="7">
        <v>62805331</v>
      </c>
    </row>
    <row r="268" spans="1:31">
      <c r="A268" s="71" t="s">
        <v>293</v>
      </c>
      <c r="B268" s="72" t="s">
        <v>1764</v>
      </c>
      <c r="C268" s="68" t="s">
        <v>18</v>
      </c>
      <c r="D268" s="105" t="s">
        <v>412</v>
      </c>
      <c r="E268" s="105" t="s">
        <v>364</v>
      </c>
      <c r="F268" s="1" t="s">
        <v>475</v>
      </c>
      <c r="G268" s="1" t="s">
        <v>522</v>
      </c>
      <c r="H268" s="1" t="s">
        <v>1780</v>
      </c>
      <c r="I268" s="67">
        <v>1128.7</v>
      </c>
      <c r="J268" s="1" t="s">
        <v>1782</v>
      </c>
      <c r="K268" s="1" t="s">
        <v>413</v>
      </c>
      <c r="L268" s="151" t="s">
        <v>414</v>
      </c>
      <c r="M268" s="1" t="s">
        <v>415</v>
      </c>
      <c r="N268" s="50">
        <v>22553</v>
      </c>
      <c r="O268" s="76">
        <f>VLOOKUP(N268,Uzcard!C:P,4,0)</f>
        <v>4745.8500000000004</v>
      </c>
      <c r="P268" s="76">
        <f>VLOOKUP(N268,Uzcard!C:P,6,0)</f>
        <v>0</v>
      </c>
      <c r="Q268" s="76">
        <f>VLOOKUP(N268,Uzcard!C:P,8,0)</f>
        <v>240.5</v>
      </c>
      <c r="R268" s="76">
        <f>VLOOKUP(N268,Uzcard!C:P,10,0)</f>
        <v>645.9</v>
      </c>
      <c r="S268" s="76">
        <f>VLOOKUP(N268,Uzcard!C:P,12,0)</f>
        <v>2986.5</v>
      </c>
      <c r="T268" s="76">
        <f>VLOOKUP(N268,Uzcard!C:P,14,0)</f>
        <v>2606.15</v>
      </c>
      <c r="U268" s="172">
        <f>IFERROR(VLOOKUP(N268,'2026 iyul uzcard'!A:D,3,0),"0")/1000</f>
        <v>5143.8999999999996</v>
      </c>
      <c r="V268" s="172"/>
      <c r="W268" s="172"/>
      <c r="X268" s="172"/>
      <c r="Y268" s="172"/>
      <c r="Z268" s="172"/>
      <c r="AA268" s="162">
        <f t="shared" si="8"/>
        <v>16368.8</v>
      </c>
      <c r="AB268" s="162"/>
      <c r="AC268" s="162"/>
      <c r="AD268" s="1" t="s">
        <v>1597</v>
      </c>
      <c r="AE268" s="7">
        <v>131315497</v>
      </c>
    </row>
    <row r="269" spans="1:31" s="89" customFormat="1">
      <c r="A269" s="71" t="s">
        <v>294</v>
      </c>
      <c r="B269" s="72" t="s">
        <v>1764</v>
      </c>
      <c r="C269" s="69" t="s">
        <v>18</v>
      </c>
      <c r="D269" s="105" t="s">
        <v>412</v>
      </c>
      <c r="E269" s="108" t="s">
        <v>370</v>
      </c>
      <c r="F269" s="1" t="s">
        <v>475</v>
      </c>
      <c r="G269" s="1" t="s">
        <v>522</v>
      </c>
      <c r="H269" s="1" t="s">
        <v>1773</v>
      </c>
      <c r="I269" s="67">
        <v>1848</v>
      </c>
      <c r="J269" s="1" t="s">
        <v>1654</v>
      </c>
      <c r="K269" s="153" t="s">
        <v>416</v>
      </c>
      <c r="L269" s="151" t="s">
        <v>414</v>
      </c>
      <c r="M269" s="1" t="s">
        <v>417</v>
      </c>
      <c r="N269" s="87" t="s">
        <v>418</v>
      </c>
      <c r="O269" s="76">
        <f>VLOOKUP(N269,Humo!C:P,4,0)</f>
        <v>2939.5</v>
      </c>
      <c r="P269" s="77">
        <f>VLOOKUP(N269,Humo!C:P,6,0)</f>
        <v>0</v>
      </c>
      <c r="Q269" s="77">
        <f>VLOOKUP(N269,Humo!C:P,8,0)</f>
        <v>508.9</v>
      </c>
      <c r="R269" s="77">
        <f>VLOOKUP(N269,Humo!C:P,10,0)</f>
        <v>596.70000000000005</v>
      </c>
      <c r="S269" s="77">
        <f>VLOOKUP(N269,Humo!C:P,12,0)</f>
        <v>2361.8000000000002</v>
      </c>
      <c r="T269" s="77">
        <f>VLOOKUP(N269,Humo!C:P,14,0)</f>
        <v>3953.1</v>
      </c>
      <c r="U269" s="77">
        <f>IFERROR(VLOOKUP(N269,'2026 iyul humo'!A:D,4,0),"0")/1000</f>
        <v>5852.3</v>
      </c>
      <c r="V269" s="77"/>
      <c r="W269" s="77"/>
      <c r="X269" s="77"/>
      <c r="Y269" s="77"/>
      <c r="Z269" s="77"/>
      <c r="AA269" s="162">
        <f t="shared" si="8"/>
        <v>16212.3</v>
      </c>
      <c r="AB269" s="162"/>
      <c r="AC269" s="162"/>
      <c r="AD269" s="1" t="s">
        <v>1589</v>
      </c>
      <c r="AE269" s="7">
        <v>105827950</v>
      </c>
    </row>
    <row r="270" spans="1:31">
      <c r="A270" s="71" t="s">
        <v>295</v>
      </c>
      <c r="B270" s="72" t="s">
        <v>1764</v>
      </c>
      <c r="C270" s="68" t="s">
        <v>18</v>
      </c>
      <c r="D270" s="105" t="s">
        <v>419</v>
      </c>
      <c r="E270" s="105" t="s">
        <v>364</v>
      </c>
      <c r="F270" s="153" t="s">
        <v>475</v>
      </c>
      <c r="G270" s="1" t="s">
        <v>522</v>
      </c>
      <c r="H270" s="1" t="s">
        <v>1780</v>
      </c>
      <c r="I270" s="67">
        <v>1128.7</v>
      </c>
      <c r="J270" s="13" t="s">
        <v>1783</v>
      </c>
      <c r="K270" s="152" t="s">
        <v>420</v>
      </c>
      <c r="L270" s="152" t="s">
        <v>421</v>
      </c>
      <c r="M270" s="152">
        <v>901121060</v>
      </c>
      <c r="N270" s="75">
        <v>21965</v>
      </c>
      <c r="O270" s="76">
        <f>VLOOKUP(N270,Uzcard!C:P,4,0)</f>
        <v>22797.45</v>
      </c>
      <c r="P270" s="76">
        <f>VLOOKUP(N270,Uzcard!C:P,6,0)</f>
        <v>19142.25</v>
      </c>
      <c r="Q270" s="76">
        <f>VLOOKUP(N270,Uzcard!C:P,8,0)</f>
        <v>31422</v>
      </c>
      <c r="R270" s="76">
        <f>VLOOKUP(N270,Uzcard!C:P,10,0)</f>
        <v>32027.1</v>
      </c>
      <c r="S270" s="76">
        <f>VLOOKUP(N270,Uzcard!C:P,12,0)</f>
        <v>31581.45</v>
      </c>
      <c r="T270" s="76">
        <f>VLOOKUP(N270,Uzcard!C:P,14,0)</f>
        <v>30443.4</v>
      </c>
      <c r="U270" s="172">
        <f>IFERROR(VLOOKUP(N270,'2026 iyul uzcard'!A:D,3,0),"0")/1000</f>
        <v>29069.9</v>
      </c>
      <c r="V270" s="172"/>
      <c r="W270" s="172"/>
      <c r="X270" s="172"/>
      <c r="Y270" s="172"/>
      <c r="Z270" s="172"/>
      <c r="AA270" s="162">
        <f t="shared" si="8"/>
        <v>196483.55</v>
      </c>
      <c r="AB270" s="162"/>
      <c r="AC270" s="162"/>
      <c r="AD270" s="1" t="s">
        <v>1596</v>
      </c>
      <c r="AE270" s="7">
        <v>131315497</v>
      </c>
    </row>
    <row r="271" spans="1:31" s="89" customFormat="1">
      <c r="A271" s="71" t="s">
        <v>296</v>
      </c>
      <c r="B271" s="72" t="s">
        <v>1764</v>
      </c>
      <c r="C271" s="69" t="s">
        <v>18</v>
      </c>
      <c r="D271" s="108" t="s">
        <v>422</v>
      </c>
      <c r="E271" s="108" t="s">
        <v>370</v>
      </c>
      <c r="F271" s="153" t="s">
        <v>475</v>
      </c>
      <c r="G271" s="1" t="s">
        <v>522</v>
      </c>
      <c r="H271" s="1" t="s">
        <v>1773</v>
      </c>
      <c r="I271" s="67">
        <v>1848</v>
      </c>
      <c r="J271" s="187" t="s">
        <v>423</v>
      </c>
      <c r="K271" s="153" t="s">
        <v>424</v>
      </c>
      <c r="L271" s="153" t="s">
        <v>425</v>
      </c>
      <c r="M271" s="153" t="s">
        <v>426</v>
      </c>
      <c r="N271" s="87" t="s">
        <v>427</v>
      </c>
      <c r="O271" s="76">
        <f>VLOOKUP(N271,Humo!C:P,4,0)</f>
        <v>1378.5415841584158</v>
      </c>
      <c r="P271" s="77">
        <f>VLOOKUP(N271,Humo!C:P,6,0)</f>
        <v>1571.8336633663366</v>
      </c>
      <c r="Q271" s="77">
        <f>VLOOKUP(N271,Humo!C:P,8,0)</f>
        <v>2388.9188118811885</v>
      </c>
      <c r="R271" s="77">
        <f>VLOOKUP(N271,Humo!C:P,10,0)</f>
        <v>460.07029702970294</v>
      </c>
      <c r="S271" s="77">
        <f>VLOOKUP(N271,Humo!C:P,12,0)</f>
        <v>2857.6158415841583</v>
      </c>
      <c r="T271" s="77">
        <f>VLOOKUP(N271,Humo!C:P,14,0)</f>
        <v>2672.9653465346537</v>
      </c>
      <c r="U271" s="77">
        <f>IFERROR(VLOOKUP(N271,'2026 iyul humo'!A:D,4,0),"0")/1000</f>
        <v>2386.8000000000002</v>
      </c>
      <c r="V271" s="77"/>
      <c r="W271" s="77"/>
      <c r="X271" s="77"/>
      <c r="Y271" s="77"/>
      <c r="Z271" s="77"/>
      <c r="AA271" s="162">
        <f t="shared" si="8"/>
        <v>13716.745544554455</v>
      </c>
      <c r="AB271" s="162"/>
      <c r="AC271" s="162"/>
      <c r="AD271" s="1" t="s">
        <v>1589</v>
      </c>
      <c r="AE271" s="7">
        <v>105827950</v>
      </c>
    </row>
    <row r="272" spans="1:31" s="89" customFormat="1">
      <c r="A272" s="71" t="s">
        <v>297</v>
      </c>
      <c r="B272" s="72" t="s">
        <v>1764</v>
      </c>
      <c r="C272" s="68" t="s">
        <v>18</v>
      </c>
      <c r="D272" s="105" t="s">
        <v>2111</v>
      </c>
      <c r="E272" s="105" t="s">
        <v>364</v>
      </c>
      <c r="F272" s="1" t="s">
        <v>474</v>
      </c>
      <c r="G272" s="1" t="s">
        <v>522</v>
      </c>
      <c r="H272" s="1"/>
      <c r="I272" s="1"/>
      <c r="J272" s="1" t="s">
        <v>1794</v>
      </c>
      <c r="K272" s="1" t="s">
        <v>365</v>
      </c>
      <c r="L272" s="151" t="s">
        <v>366</v>
      </c>
      <c r="M272" s="1" t="s">
        <v>367</v>
      </c>
      <c r="N272" s="50">
        <v>15889</v>
      </c>
      <c r="O272" s="76">
        <f>VLOOKUP(N272,Uzcard!C:P,4,0)</f>
        <v>19299.3</v>
      </c>
      <c r="P272" s="76">
        <f>VLOOKUP(N272,Uzcard!C:P,6,0)</f>
        <v>13389.3</v>
      </c>
      <c r="Q272" s="76">
        <f>VLOOKUP(N272,Uzcard!C:P,8,0)</f>
        <v>19269.45</v>
      </c>
      <c r="R272" s="76">
        <f>VLOOKUP(N272,Uzcard!C:P,10,0)</f>
        <v>14438.2</v>
      </c>
      <c r="S272" s="76">
        <f>VLOOKUP(N272,Uzcard!C:P,12,0)</f>
        <v>12543.3</v>
      </c>
      <c r="T272" s="76">
        <f>VLOOKUP(N272,Uzcard!C:P,14,0)</f>
        <v>10511.3</v>
      </c>
      <c r="U272" s="172">
        <f>IFERROR(VLOOKUP(N272,'2026 iyul uzcard'!A:D,3,0),"0")/1000</f>
        <v>2391.9499999999998</v>
      </c>
      <c r="V272" s="172"/>
      <c r="W272" s="172"/>
      <c r="X272" s="172"/>
      <c r="Y272" s="172"/>
      <c r="Z272" s="172"/>
      <c r="AA272" s="162">
        <f t="shared" si="8"/>
        <v>91842.8</v>
      </c>
      <c r="AB272" s="162"/>
      <c r="AC272" s="162"/>
      <c r="AD272" s="1" t="s">
        <v>1547</v>
      </c>
      <c r="AE272" s="7">
        <v>106507213.69</v>
      </c>
    </row>
    <row r="273" spans="1:31">
      <c r="A273" s="71" t="s">
        <v>298</v>
      </c>
      <c r="B273" s="72" t="s">
        <v>1764</v>
      </c>
      <c r="C273" s="68" t="s">
        <v>18</v>
      </c>
      <c r="D273" s="105" t="s">
        <v>24</v>
      </c>
      <c r="E273" s="105" t="s">
        <v>364</v>
      </c>
      <c r="F273" s="153" t="s">
        <v>474</v>
      </c>
      <c r="G273" s="1" t="s">
        <v>491</v>
      </c>
      <c r="H273" s="1"/>
      <c r="I273" s="1"/>
      <c r="J273" s="152" t="s">
        <v>428</v>
      </c>
      <c r="K273" s="152" t="s">
        <v>429</v>
      </c>
      <c r="L273" s="151" t="s">
        <v>366</v>
      </c>
      <c r="M273" s="152">
        <v>901114210</v>
      </c>
      <c r="N273" s="75">
        <v>15008</v>
      </c>
      <c r="O273" s="76">
        <f>VLOOKUP(N273,Uzcard!C:P,4,0)</f>
        <v>0</v>
      </c>
      <c r="P273" s="76">
        <f>VLOOKUP(N273,Uzcard!C:P,6,0)</f>
        <v>0</v>
      </c>
      <c r="Q273" s="76">
        <f>VLOOKUP(N273,Uzcard!C:P,8,0)</f>
        <v>0</v>
      </c>
      <c r="R273" s="76">
        <f>VLOOKUP(N273,Uzcard!C:P,10,0)</f>
        <v>0</v>
      </c>
      <c r="S273" s="76">
        <f>VLOOKUP(N273,Uzcard!C:P,12,0)</f>
        <v>0</v>
      </c>
      <c r="T273" s="76">
        <f>VLOOKUP(N273,Uzcard!C:P,14,0)</f>
        <v>0</v>
      </c>
      <c r="U273" s="172">
        <f>IFERROR(VLOOKUP(N273,'2026 iyul uzcard'!A:D,3,0),"0")/1000</f>
        <v>0</v>
      </c>
      <c r="V273" s="172"/>
      <c r="W273" s="172"/>
      <c r="X273" s="172"/>
      <c r="Y273" s="172"/>
      <c r="Z273" s="172"/>
      <c r="AA273" s="162">
        <f t="shared" si="8"/>
        <v>0</v>
      </c>
      <c r="AB273" s="162"/>
      <c r="AC273" s="162"/>
      <c r="AD273" s="1" t="s">
        <v>1598</v>
      </c>
      <c r="AE273" s="7">
        <v>108319139.8</v>
      </c>
    </row>
    <row r="274" spans="1:31">
      <c r="A274" s="71" t="s">
        <v>299</v>
      </c>
      <c r="B274" s="72" t="s">
        <v>1764</v>
      </c>
      <c r="C274" s="68" t="s">
        <v>18</v>
      </c>
      <c r="D274" s="105" t="s">
        <v>24</v>
      </c>
      <c r="E274" s="108" t="s">
        <v>364</v>
      </c>
      <c r="F274" s="1" t="s">
        <v>474</v>
      </c>
      <c r="G274" s="1" t="s">
        <v>491</v>
      </c>
      <c r="H274" s="1"/>
      <c r="I274" s="1"/>
      <c r="J274" s="1" t="s">
        <v>1811</v>
      </c>
      <c r="K274" s="1" t="s">
        <v>386</v>
      </c>
      <c r="L274" s="151" t="s">
        <v>387</v>
      </c>
      <c r="M274" s="1" t="s">
        <v>388</v>
      </c>
      <c r="N274" s="50">
        <v>18516</v>
      </c>
      <c r="O274" s="76">
        <f>VLOOKUP(N274,Uzcard!C:P,4,0)</f>
        <v>0</v>
      </c>
      <c r="P274" s="76">
        <f>VLOOKUP(N274,Uzcard!C:P,6,0)</f>
        <v>0</v>
      </c>
      <c r="Q274" s="76">
        <f>VLOOKUP(N274,Uzcard!C:P,8,0)</f>
        <v>0</v>
      </c>
      <c r="R274" s="76">
        <f>VLOOKUP(N274,Uzcard!C:P,10,0)</f>
        <v>0</v>
      </c>
      <c r="S274" s="76">
        <f>VLOOKUP(N274,Uzcard!C:P,12,0)</f>
        <v>0</v>
      </c>
      <c r="T274" s="76">
        <f>VLOOKUP(N274,Uzcard!C:P,14,0)</f>
        <v>0</v>
      </c>
      <c r="U274" s="172">
        <f>IFERROR(VLOOKUP(N274,'2026 iyul uzcard'!A:D,3,0),"0")/1000</f>
        <v>0</v>
      </c>
      <c r="V274" s="172"/>
      <c r="W274" s="172"/>
      <c r="X274" s="172"/>
      <c r="Y274" s="172"/>
      <c r="Z274" s="172"/>
      <c r="AA274" s="162">
        <f t="shared" si="8"/>
        <v>0</v>
      </c>
      <c r="AB274" s="162"/>
      <c r="AC274" s="162"/>
      <c r="AD274" s="1" t="s">
        <v>1595</v>
      </c>
      <c r="AE274" s="7">
        <v>100458192.72</v>
      </c>
    </row>
    <row r="275" spans="1:31">
      <c r="A275" s="71" t="s">
        <v>300</v>
      </c>
      <c r="B275" s="72" t="s">
        <v>1764</v>
      </c>
      <c r="C275" s="68" t="s">
        <v>18</v>
      </c>
      <c r="D275" s="105" t="s">
        <v>24</v>
      </c>
      <c r="E275" s="105" t="s">
        <v>381</v>
      </c>
      <c r="F275" s="93" t="s">
        <v>382</v>
      </c>
      <c r="G275" s="94" t="s">
        <v>491</v>
      </c>
      <c r="H275" s="94"/>
      <c r="I275" s="94"/>
      <c r="J275" s="1" t="s">
        <v>1451</v>
      </c>
      <c r="K275" s="1" t="s">
        <v>383</v>
      </c>
      <c r="L275" s="151" t="s">
        <v>366</v>
      </c>
      <c r="M275" s="1" t="s">
        <v>384</v>
      </c>
      <c r="N275" s="50" t="s">
        <v>384</v>
      </c>
      <c r="O275" s="76">
        <f>IFERROR(VLOOKUP(N275,'2026 yanvar vash'!A:D,4,0),"0")/1000</f>
        <v>0</v>
      </c>
      <c r="P275" s="173">
        <f>IFERROR(VLOOKUP(N275,'2026 fevral vash'!A:D,4,0),"0")/1000</f>
        <v>0</v>
      </c>
      <c r="Q275" s="173">
        <f>IFERROR(VLOOKUP(N275,'2026 mart vash'!A:D,4,0),"0")/1000</f>
        <v>0</v>
      </c>
      <c r="R275" s="173">
        <f>IFERROR(VLOOKUP(N275,'2026 aprel vash'!A:D,4,0),"0")/1000</f>
        <v>0</v>
      </c>
      <c r="S275" s="173">
        <f>IFERROR(VLOOKUP(N275,'2026 may vash'!A:D,4,0),"0")/1000</f>
        <v>0</v>
      </c>
      <c r="T275" s="173">
        <f>IFERROR(VLOOKUP(N275,'2026 iyun vash'!A:D,4,0),"0")/1000</f>
        <v>0</v>
      </c>
      <c r="U275" s="173">
        <f>IFERROR(VLOOKUP(N275,'2026 iyul vash'!A:D,4,0),"0")/1000</f>
        <v>0</v>
      </c>
      <c r="V275" s="173"/>
      <c r="W275" s="173"/>
      <c r="X275" s="173"/>
      <c r="Y275" s="173"/>
      <c r="Z275" s="173"/>
      <c r="AA275" s="162">
        <f t="shared" si="8"/>
        <v>0</v>
      </c>
      <c r="AB275" s="162"/>
      <c r="AC275" s="162"/>
      <c r="AD275" s="1" t="s">
        <v>1594</v>
      </c>
      <c r="AE275" s="7">
        <v>171904842.81999999</v>
      </c>
    </row>
    <row r="276" spans="1:31">
      <c r="A276" s="71" t="s">
        <v>301</v>
      </c>
      <c r="B276" s="72" t="s">
        <v>1764</v>
      </c>
      <c r="C276" s="68" t="s">
        <v>18</v>
      </c>
      <c r="D276" s="105" t="s">
        <v>24</v>
      </c>
      <c r="E276" s="108" t="s">
        <v>381</v>
      </c>
      <c r="F276" s="93" t="s">
        <v>382</v>
      </c>
      <c r="G276" s="94" t="s">
        <v>491</v>
      </c>
      <c r="H276" s="94"/>
      <c r="I276" s="94"/>
      <c r="J276" s="1" t="s">
        <v>1452</v>
      </c>
      <c r="K276" s="154" t="s">
        <v>394</v>
      </c>
      <c r="L276" s="151" t="s">
        <v>387</v>
      </c>
      <c r="M276" s="1" t="s">
        <v>395</v>
      </c>
      <c r="N276" s="50" t="s">
        <v>395</v>
      </c>
      <c r="O276" s="76">
        <f>IFERROR(VLOOKUP(N276,'2026 yanvar vash'!A:D,4,0),"0")/1000</f>
        <v>0</v>
      </c>
      <c r="P276" s="173">
        <f>IFERROR(VLOOKUP(N276,'2026 fevral vash'!A:D,4,0),"0")/1000</f>
        <v>0</v>
      </c>
      <c r="Q276" s="173">
        <f>IFERROR(VLOOKUP(N276,'2026 mart vash'!A:D,4,0),"0")/1000</f>
        <v>0</v>
      </c>
      <c r="R276" s="173">
        <f>IFERROR(VLOOKUP(N276,'2026 aprel vash'!A:D,4,0),"0")/1000</f>
        <v>0</v>
      </c>
      <c r="S276" s="173">
        <f>IFERROR(VLOOKUP(N276,'2026 may vash'!A:D,4,0),"0")/1000</f>
        <v>0</v>
      </c>
      <c r="T276" s="173">
        <f>IFERROR(VLOOKUP(N276,'2026 iyun vash'!A:D,4,0),"0")/1000</f>
        <v>0</v>
      </c>
      <c r="U276" s="173">
        <f>IFERROR(VLOOKUP(N276,'2026 iyul vash'!A:D,4,0),"0")/1000</f>
        <v>0</v>
      </c>
      <c r="V276" s="173"/>
      <c r="W276" s="173"/>
      <c r="X276" s="173"/>
      <c r="Y276" s="173"/>
      <c r="Z276" s="173"/>
      <c r="AA276" s="162">
        <f t="shared" si="8"/>
        <v>0</v>
      </c>
      <c r="AB276" s="162"/>
      <c r="AC276" s="162"/>
      <c r="AD276" s="1" t="s">
        <v>1594</v>
      </c>
      <c r="AE276" s="7">
        <v>171904842.81999999</v>
      </c>
    </row>
    <row r="277" spans="1:31">
      <c r="A277" s="71" t="s">
        <v>302</v>
      </c>
      <c r="B277" s="72" t="s">
        <v>1764</v>
      </c>
      <c r="C277" s="68" t="s">
        <v>18</v>
      </c>
      <c r="D277" s="105" t="s">
        <v>24</v>
      </c>
      <c r="E277" s="108" t="s">
        <v>381</v>
      </c>
      <c r="F277" s="93" t="s">
        <v>382</v>
      </c>
      <c r="G277" s="94" t="s">
        <v>491</v>
      </c>
      <c r="H277" s="94"/>
      <c r="I277" s="94"/>
      <c r="J277" s="1" t="s">
        <v>1453</v>
      </c>
      <c r="K277" s="1" t="s">
        <v>404</v>
      </c>
      <c r="L277" s="151" t="s">
        <v>398</v>
      </c>
      <c r="M277" s="1" t="s">
        <v>405</v>
      </c>
      <c r="N277" s="50" t="s">
        <v>405</v>
      </c>
      <c r="O277" s="76">
        <f>IFERROR(VLOOKUP(N277,'2026 yanvar vash'!A:D,4,0),"0")/1000</f>
        <v>0</v>
      </c>
      <c r="P277" s="173">
        <f>IFERROR(VLOOKUP(N277,'2026 fevral vash'!A:D,4,0),"0")/1000</f>
        <v>0</v>
      </c>
      <c r="Q277" s="173">
        <f>IFERROR(VLOOKUP(N277,'2026 mart vash'!A:D,4,0),"0")/1000</f>
        <v>0</v>
      </c>
      <c r="R277" s="173">
        <f>IFERROR(VLOOKUP(N277,'2026 aprel vash'!A:D,4,0),"0")/1000</f>
        <v>0</v>
      </c>
      <c r="S277" s="173">
        <f>IFERROR(VLOOKUP(N277,'2026 may vash'!A:D,4,0),"0")/1000</f>
        <v>0</v>
      </c>
      <c r="T277" s="173">
        <f>IFERROR(VLOOKUP(N277,'2026 iyun vash'!A:D,4,0),"0")/1000</f>
        <v>0</v>
      </c>
      <c r="U277" s="173">
        <f>IFERROR(VLOOKUP(N277,'2026 iyul vash'!A:D,4,0),"0")/1000</f>
        <v>0</v>
      </c>
      <c r="V277" s="173"/>
      <c r="W277" s="173"/>
      <c r="X277" s="173"/>
      <c r="Y277" s="173"/>
      <c r="Z277" s="173"/>
      <c r="AA277" s="162">
        <f t="shared" si="8"/>
        <v>0</v>
      </c>
      <c r="AB277" s="162"/>
      <c r="AC277" s="162"/>
      <c r="AD277" s="1" t="s">
        <v>1594</v>
      </c>
      <c r="AE277" s="7">
        <v>171904842.81999999</v>
      </c>
    </row>
    <row r="278" spans="1:31">
      <c r="A278" s="71" t="s">
        <v>303</v>
      </c>
      <c r="B278" s="90" t="s">
        <v>1765</v>
      </c>
      <c r="C278" s="68" t="s">
        <v>2109</v>
      </c>
      <c r="D278" s="105" t="s">
        <v>1243</v>
      </c>
      <c r="E278" s="105" t="s">
        <v>364</v>
      </c>
      <c r="F278" s="155" t="s">
        <v>475</v>
      </c>
      <c r="G278" s="1" t="s">
        <v>522</v>
      </c>
      <c r="H278" s="1" t="s">
        <v>1780</v>
      </c>
      <c r="I278" s="67">
        <v>1128.7</v>
      </c>
      <c r="J278" s="1" t="s">
        <v>430</v>
      </c>
      <c r="K278" s="105" t="s">
        <v>431</v>
      </c>
      <c r="L278" s="13" t="s">
        <v>432</v>
      </c>
      <c r="M278" s="1" t="s">
        <v>1798</v>
      </c>
      <c r="N278" s="50">
        <v>34769</v>
      </c>
      <c r="O278" s="76">
        <f>VLOOKUP(N278,Uzcard!C:P,4,0)</f>
        <v>10035.15</v>
      </c>
      <c r="P278" s="76">
        <f>VLOOKUP(N278,Uzcard!C:P,6,0)</f>
        <v>12604.85</v>
      </c>
      <c r="Q278" s="76">
        <f>VLOOKUP(N278,Uzcard!C:P,8,0)</f>
        <v>11743.125</v>
      </c>
      <c r="R278" s="76">
        <f>VLOOKUP(N278,Uzcard!C:P,10,0)</f>
        <v>13906.2</v>
      </c>
      <c r="S278" s="76">
        <f>VLOOKUP(N278,Uzcard!C:P,12,0)</f>
        <v>8426.1</v>
      </c>
      <c r="T278" s="76">
        <f>VLOOKUP(N278,Uzcard!C:P,14,0)</f>
        <v>9626.1749999999993</v>
      </c>
      <c r="U278" s="172">
        <f>IFERROR(VLOOKUP(N278,'2026 iyul uzcard'!A:D,3,0),"0")/1000</f>
        <v>4361.55</v>
      </c>
      <c r="V278" s="172"/>
      <c r="W278" s="172"/>
      <c r="X278" s="172"/>
      <c r="Y278" s="172"/>
      <c r="Z278" s="172"/>
      <c r="AA278" s="162">
        <f t="shared" si="8"/>
        <v>70703.149999999994</v>
      </c>
      <c r="AB278" s="162"/>
      <c r="AC278" s="162"/>
      <c r="AD278" s="1" t="s">
        <v>1607</v>
      </c>
      <c r="AE278" s="8">
        <v>105827950</v>
      </c>
    </row>
    <row r="279" spans="1:31">
      <c r="A279" s="71" t="s">
        <v>304</v>
      </c>
      <c r="B279" s="72" t="s">
        <v>1765</v>
      </c>
      <c r="C279" s="68" t="s">
        <v>2109</v>
      </c>
      <c r="D279" s="105" t="s">
        <v>1243</v>
      </c>
      <c r="E279" s="105" t="s">
        <v>370</v>
      </c>
      <c r="F279" s="155" t="s">
        <v>376</v>
      </c>
      <c r="G279" s="1" t="s">
        <v>522</v>
      </c>
      <c r="H279" s="1" t="s">
        <v>1773</v>
      </c>
      <c r="I279" s="67">
        <v>1848</v>
      </c>
      <c r="J279" s="1" t="s">
        <v>1805</v>
      </c>
      <c r="K279" s="105" t="s">
        <v>433</v>
      </c>
      <c r="L279" s="13" t="s">
        <v>432</v>
      </c>
      <c r="M279" s="1" t="s">
        <v>434</v>
      </c>
      <c r="N279" s="50" t="s">
        <v>435</v>
      </c>
      <c r="O279" s="76">
        <f>VLOOKUP(N279,Humo!C:P,4,0)</f>
        <v>3402.5</v>
      </c>
      <c r="P279" s="77">
        <f>VLOOKUP(N279,Humo!C:P,6,0)</f>
        <v>3980.1</v>
      </c>
      <c r="Q279" s="77">
        <f>VLOOKUP(N279,Humo!C:P,8,0)</f>
        <v>5283.5</v>
      </c>
      <c r="R279" s="77">
        <f>VLOOKUP(N279,Humo!C:P,10,0)</f>
        <v>4986.3999999999996</v>
      </c>
      <c r="S279" s="77">
        <f>VLOOKUP(N279,Humo!C:P,12,0)</f>
        <v>3043.7</v>
      </c>
      <c r="T279" s="77">
        <f>VLOOKUP(N279,Humo!C:P,14,0)</f>
        <v>3730</v>
      </c>
      <c r="U279" s="77">
        <f>IFERROR(VLOOKUP(N279,'2026 iyul humo'!A:D,4,0),"0")/1000</f>
        <v>7549.8</v>
      </c>
      <c r="V279" s="77"/>
      <c r="W279" s="77"/>
      <c r="X279" s="77"/>
      <c r="Y279" s="77"/>
      <c r="Z279" s="77"/>
      <c r="AA279" s="162">
        <f t="shared" si="8"/>
        <v>31976</v>
      </c>
      <c r="AB279" s="162"/>
      <c r="AC279" s="162"/>
      <c r="AD279" s="1" t="s">
        <v>1602</v>
      </c>
      <c r="AE279" s="8">
        <v>168243023</v>
      </c>
    </row>
    <row r="280" spans="1:31">
      <c r="A280" s="71" t="s">
        <v>305</v>
      </c>
      <c r="B280" s="72" t="s">
        <v>1765</v>
      </c>
      <c r="C280" s="68" t="s">
        <v>2109</v>
      </c>
      <c r="D280" s="105" t="s">
        <v>1243</v>
      </c>
      <c r="E280" s="105" t="s">
        <v>381</v>
      </c>
      <c r="F280" s="124" t="s">
        <v>382</v>
      </c>
      <c r="G280" s="90" t="s">
        <v>491</v>
      </c>
      <c r="H280" s="94"/>
      <c r="I280" s="94"/>
      <c r="J280" s="1" t="s">
        <v>1806</v>
      </c>
      <c r="K280" s="105" t="s">
        <v>436</v>
      </c>
      <c r="L280" s="13" t="s">
        <v>432</v>
      </c>
      <c r="M280" s="1" t="s">
        <v>437</v>
      </c>
      <c r="N280" s="50" t="s">
        <v>437</v>
      </c>
      <c r="O280" s="76">
        <f>IFERROR(VLOOKUP(N280,'2026 yanvar vash'!A:D,4,0),"0")/1000</f>
        <v>0</v>
      </c>
      <c r="P280" s="173">
        <f>IFERROR(VLOOKUP(N280,'2026 fevral vash'!A:D,4,0),"0")/1000</f>
        <v>0</v>
      </c>
      <c r="Q280" s="173">
        <f>IFERROR(VLOOKUP(N280,'2026 mart vash'!A:D,4,0),"0")/1000</f>
        <v>0</v>
      </c>
      <c r="R280" s="173">
        <f>IFERROR(VLOOKUP(N280,'2026 aprel vash'!A:D,4,0),"0")/1000</f>
        <v>0</v>
      </c>
      <c r="S280" s="173">
        <f>IFERROR(VLOOKUP(N280,'2026 may vash'!A:D,4,0),"0")/1000</f>
        <v>0</v>
      </c>
      <c r="T280" s="173">
        <f>IFERROR(VLOOKUP(N280,'2026 iyun vash'!A:D,4,0),"0")/1000</f>
        <v>0</v>
      </c>
      <c r="U280" s="173">
        <f>IFERROR(VLOOKUP(N280,'2026 iyul vash'!A:D,4,0),"0")/1000</f>
        <v>0</v>
      </c>
      <c r="V280" s="173"/>
      <c r="W280" s="173"/>
      <c r="X280" s="173"/>
      <c r="Y280" s="173"/>
      <c r="Z280" s="173"/>
      <c r="AA280" s="162">
        <f t="shared" si="8"/>
        <v>0</v>
      </c>
      <c r="AB280" s="162"/>
      <c r="AC280" s="162"/>
      <c r="AD280" s="1" t="s">
        <v>1604</v>
      </c>
      <c r="AE280" s="8">
        <v>171904842.93000001</v>
      </c>
    </row>
    <row r="281" spans="1:31">
      <c r="A281" s="71" t="s">
        <v>306</v>
      </c>
      <c r="B281" s="72" t="s">
        <v>1765</v>
      </c>
      <c r="C281" s="68" t="s">
        <v>2109</v>
      </c>
      <c r="D281" s="105" t="s">
        <v>1243</v>
      </c>
      <c r="E281" s="105" t="s">
        <v>364</v>
      </c>
      <c r="F281" s="155" t="s">
        <v>1162</v>
      </c>
      <c r="G281" s="1" t="s">
        <v>522</v>
      </c>
      <c r="H281" s="1" t="s">
        <v>1780</v>
      </c>
      <c r="I281" s="67">
        <v>1128.7</v>
      </c>
      <c r="J281" s="1" t="s">
        <v>1421</v>
      </c>
      <c r="K281" s="105" t="s">
        <v>1469</v>
      </c>
      <c r="L281" s="13" t="s">
        <v>1422</v>
      </c>
      <c r="M281" s="1" t="s">
        <v>1799</v>
      </c>
      <c r="N281" s="50">
        <v>40022</v>
      </c>
      <c r="O281" s="76">
        <f>VLOOKUP(N281,Uzcard!C:P,4,0)</f>
        <v>0</v>
      </c>
      <c r="P281" s="76">
        <f>VLOOKUP(N281,Uzcard!C:P,6,0)</f>
        <v>0</v>
      </c>
      <c r="Q281" s="76">
        <f>VLOOKUP(N281,Uzcard!C:P,8,0)</f>
        <v>0</v>
      </c>
      <c r="R281" s="76">
        <f>VLOOKUP(N281,Uzcard!C:P,10,0)</f>
        <v>0</v>
      </c>
      <c r="S281" s="76">
        <f>VLOOKUP(N281,Uzcard!C:P,12,0)</f>
        <v>0</v>
      </c>
      <c r="T281" s="76">
        <f>VLOOKUP(N281,Uzcard!C:P,14,0)</f>
        <v>0</v>
      </c>
      <c r="U281" s="172">
        <f>IFERROR(VLOOKUP(N281,'2026 iyul uzcard'!A:D,3,0),"0")/1000</f>
        <v>3290</v>
      </c>
      <c r="V281" s="172"/>
      <c r="W281" s="172"/>
      <c r="X281" s="172"/>
      <c r="Y281" s="172"/>
      <c r="Z281" s="172"/>
      <c r="AA281" s="162">
        <f t="shared" si="8"/>
        <v>3290</v>
      </c>
      <c r="AB281" s="162"/>
      <c r="AC281" s="162"/>
      <c r="AD281" s="1" t="s">
        <v>1501</v>
      </c>
      <c r="AE281" s="8">
        <v>362504800</v>
      </c>
    </row>
    <row r="282" spans="1:31">
      <c r="A282" s="71" t="s">
        <v>307</v>
      </c>
      <c r="B282" s="72" t="s">
        <v>1765</v>
      </c>
      <c r="C282" s="68" t="s">
        <v>2109</v>
      </c>
      <c r="D282" s="105" t="s">
        <v>438</v>
      </c>
      <c r="E282" s="105" t="s">
        <v>364</v>
      </c>
      <c r="F282" s="155" t="s">
        <v>474</v>
      </c>
      <c r="G282" s="1" t="s">
        <v>522</v>
      </c>
      <c r="H282" s="1"/>
      <c r="I282" s="1"/>
      <c r="J282" s="1" t="s">
        <v>439</v>
      </c>
      <c r="K282" s="105" t="s">
        <v>440</v>
      </c>
      <c r="L282" s="13" t="s">
        <v>441</v>
      </c>
      <c r="M282" s="1" t="s">
        <v>1800</v>
      </c>
      <c r="N282" s="50">
        <v>18078</v>
      </c>
      <c r="O282" s="76">
        <f>VLOOKUP(N282,Uzcard!C:P,4,0)</f>
        <v>7859.4</v>
      </c>
      <c r="P282" s="76">
        <f>VLOOKUP(N282,Uzcard!C:P,6,0)</f>
        <v>6862.2</v>
      </c>
      <c r="Q282" s="76">
        <f>VLOOKUP(N282,Uzcard!C:P,8,0)</f>
        <v>12921.4</v>
      </c>
      <c r="R282" s="76">
        <f>VLOOKUP(N282,Uzcard!C:P,10,0)</f>
        <v>9561.15</v>
      </c>
      <c r="S282" s="76">
        <f>VLOOKUP(N282,Uzcard!C:P,12,0)</f>
        <v>7700.15</v>
      </c>
      <c r="T282" s="76">
        <f>VLOOKUP(N282,Uzcard!C:P,14,0)</f>
        <v>8484.15</v>
      </c>
      <c r="U282" s="172">
        <f>IFERROR(VLOOKUP(N282,'2026 iyul uzcard'!A:D,3,0),"0")/1000</f>
        <v>6834.85</v>
      </c>
      <c r="V282" s="172"/>
      <c r="W282" s="172"/>
      <c r="X282" s="172"/>
      <c r="Y282" s="172"/>
      <c r="Z282" s="172"/>
      <c r="AA282" s="162">
        <f t="shared" si="8"/>
        <v>60223.3</v>
      </c>
      <c r="AB282" s="162"/>
      <c r="AC282" s="162"/>
      <c r="AD282" s="1" t="s">
        <v>1565</v>
      </c>
      <c r="AE282" s="8">
        <v>131315497</v>
      </c>
    </row>
    <row r="283" spans="1:31">
      <c r="A283" s="71" t="s">
        <v>308</v>
      </c>
      <c r="B283" s="72" t="s">
        <v>1765</v>
      </c>
      <c r="C283" s="68" t="s">
        <v>2109</v>
      </c>
      <c r="D283" s="105" t="s">
        <v>438</v>
      </c>
      <c r="E283" s="105" t="s">
        <v>364</v>
      </c>
      <c r="F283" s="155" t="s">
        <v>475</v>
      </c>
      <c r="G283" s="1" t="s">
        <v>522</v>
      </c>
      <c r="H283" s="1" t="s">
        <v>1780</v>
      </c>
      <c r="I283" s="67">
        <v>1128.7</v>
      </c>
      <c r="J283" s="1" t="s">
        <v>442</v>
      </c>
      <c r="K283" s="105" t="s">
        <v>443</v>
      </c>
      <c r="L283" s="13" t="s">
        <v>441</v>
      </c>
      <c r="M283" s="1" t="s">
        <v>1801</v>
      </c>
      <c r="N283" s="50">
        <v>29593</v>
      </c>
      <c r="O283" s="76">
        <f>VLOOKUP(N283,Uzcard!C:P,4,0)</f>
        <v>10287.65</v>
      </c>
      <c r="P283" s="76">
        <f>VLOOKUP(N283,Uzcard!C:P,6,0)</f>
        <v>12437.95</v>
      </c>
      <c r="Q283" s="76">
        <f>VLOOKUP(N283,Uzcard!C:P,8,0)</f>
        <v>13524.15</v>
      </c>
      <c r="R283" s="76">
        <f>VLOOKUP(N283,Uzcard!C:P,10,0)</f>
        <v>14046.75</v>
      </c>
      <c r="S283" s="76">
        <f>VLOOKUP(N283,Uzcard!C:P,12,0)</f>
        <v>11257.55</v>
      </c>
      <c r="T283" s="76">
        <f>VLOOKUP(N283,Uzcard!C:P,14,0)</f>
        <v>10036.799999999999</v>
      </c>
      <c r="U283" s="172">
        <f>IFERROR(VLOOKUP(N283,'2026 iyul uzcard'!A:D,3,0),"0")/1000</f>
        <v>12219.4</v>
      </c>
      <c r="V283" s="172"/>
      <c r="W283" s="172"/>
      <c r="X283" s="172"/>
      <c r="Y283" s="172"/>
      <c r="Z283" s="172"/>
      <c r="AA283" s="162">
        <f t="shared" si="8"/>
        <v>83810.25</v>
      </c>
      <c r="AB283" s="162"/>
      <c r="AC283" s="162"/>
      <c r="AD283" s="1" t="s">
        <v>1556</v>
      </c>
      <c r="AE283" s="8">
        <v>131315497</v>
      </c>
    </row>
    <row r="284" spans="1:31">
      <c r="A284" s="71" t="s">
        <v>309</v>
      </c>
      <c r="B284" s="72" t="s">
        <v>1765</v>
      </c>
      <c r="C284" s="68" t="s">
        <v>2109</v>
      </c>
      <c r="D284" s="105" t="s">
        <v>438</v>
      </c>
      <c r="E284" s="105" t="s">
        <v>370</v>
      </c>
      <c r="F284" s="155" t="s">
        <v>371</v>
      </c>
      <c r="G284" s="1" t="s">
        <v>522</v>
      </c>
      <c r="H284" s="1" t="s">
        <v>1773</v>
      </c>
      <c r="I284" s="67">
        <v>1848</v>
      </c>
      <c r="J284" s="1" t="s">
        <v>1807</v>
      </c>
      <c r="K284" s="105" t="s">
        <v>444</v>
      </c>
      <c r="L284" s="13" t="s">
        <v>441</v>
      </c>
      <c r="M284" s="1" t="s">
        <v>445</v>
      </c>
      <c r="N284" s="50" t="s">
        <v>446</v>
      </c>
      <c r="O284" s="76">
        <f>VLOOKUP(N284,Humo!C:P,4,0)</f>
        <v>11352.8</v>
      </c>
      <c r="P284" s="77">
        <f>VLOOKUP(N284,Humo!C:P,6,0)</f>
        <v>12497.3</v>
      </c>
      <c r="Q284" s="77">
        <f>VLOOKUP(N284,Humo!C:P,8,0)</f>
        <v>18343.099999999999</v>
      </c>
      <c r="R284" s="77">
        <f>VLOOKUP(N284,Humo!C:P,10,0)</f>
        <v>15508.2</v>
      </c>
      <c r="S284" s="77">
        <f>VLOOKUP(N284,Humo!C:P,12,0)</f>
        <v>13049</v>
      </c>
      <c r="T284" s="77">
        <f>VLOOKUP(N284,Humo!C:P,14,0)</f>
        <v>13956.8</v>
      </c>
      <c r="U284" s="77">
        <f>IFERROR(VLOOKUP(N284,'2026 iyul humo'!A:D,4,0),"0")/1000</f>
        <v>12026.2</v>
      </c>
      <c r="V284" s="77"/>
      <c r="W284" s="77"/>
      <c r="X284" s="77"/>
      <c r="Y284" s="77"/>
      <c r="Z284" s="77"/>
      <c r="AA284" s="162">
        <f t="shared" si="8"/>
        <v>96733.4</v>
      </c>
      <c r="AB284" s="162"/>
      <c r="AC284" s="162"/>
      <c r="AD284" s="1" t="s">
        <v>1605</v>
      </c>
      <c r="AE284" s="8">
        <v>62805331</v>
      </c>
    </row>
    <row r="285" spans="1:31">
      <c r="A285" s="71" t="s">
        <v>310</v>
      </c>
      <c r="B285" s="72" t="s">
        <v>1765</v>
      </c>
      <c r="C285" s="68" t="s">
        <v>2109</v>
      </c>
      <c r="D285" s="105" t="s">
        <v>438</v>
      </c>
      <c r="E285" s="105" t="s">
        <v>381</v>
      </c>
      <c r="F285" s="124" t="s">
        <v>382</v>
      </c>
      <c r="G285" s="90" t="s">
        <v>491</v>
      </c>
      <c r="H285" s="94"/>
      <c r="I285" s="94"/>
      <c r="J285" s="1" t="s">
        <v>1808</v>
      </c>
      <c r="K285" s="105" t="s">
        <v>447</v>
      </c>
      <c r="L285" s="13" t="s">
        <v>441</v>
      </c>
      <c r="M285" s="1" t="s">
        <v>448</v>
      </c>
      <c r="N285" s="50" t="s">
        <v>448</v>
      </c>
      <c r="O285" s="76">
        <f>IFERROR(VLOOKUP(N285,'2026 yanvar vash'!A:D,4,0),"0")/1000</f>
        <v>42.32</v>
      </c>
      <c r="P285" s="173">
        <f>IFERROR(VLOOKUP(N285,'2026 fevral vash'!A:D,4,0),"0")/1000</f>
        <v>0</v>
      </c>
      <c r="Q285" s="173">
        <f>IFERROR(VLOOKUP(N285,'2026 mart vash'!A:D,4,0),"0")/1000</f>
        <v>0</v>
      </c>
      <c r="R285" s="173">
        <f>IFERROR(VLOOKUP(N285,'2026 aprel vash'!A:D,4,0),"0")/1000</f>
        <v>11.57</v>
      </c>
      <c r="S285" s="173">
        <f>IFERROR(VLOOKUP(N285,'2026 may vash'!A:D,4,0),"0")/1000</f>
        <v>11</v>
      </c>
      <c r="T285" s="173">
        <f>IFERROR(VLOOKUP(N285,'2026 iyun vash'!A:D,4,0),"0")/1000</f>
        <v>3</v>
      </c>
      <c r="U285" s="173">
        <f>IFERROR(VLOOKUP(N285,'2026 iyul vash'!A:D,4,0),"0")/1000</f>
        <v>0</v>
      </c>
      <c r="V285" s="173"/>
      <c r="W285" s="173"/>
      <c r="X285" s="173"/>
      <c r="Y285" s="173"/>
      <c r="Z285" s="173"/>
      <c r="AA285" s="162">
        <f t="shared" si="8"/>
        <v>67.89</v>
      </c>
      <c r="AB285" s="162"/>
      <c r="AC285" s="162"/>
      <c r="AD285" s="1" t="s">
        <v>1603</v>
      </c>
      <c r="AE285" s="8">
        <v>216557286.44999999</v>
      </c>
    </row>
    <row r="286" spans="1:31">
      <c r="A286" s="71" t="s">
        <v>311</v>
      </c>
      <c r="B286" s="72" t="s">
        <v>1765</v>
      </c>
      <c r="C286" s="68" t="s">
        <v>2109</v>
      </c>
      <c r="D286" s="105" t="s">
        <v>731</v>
      </c>
      <c r="E286" s="105" t="s">
        <v>364</v>
      </c>
      <c r="F286" s="155" t="s">
        <v>475</v>
      </c>
      <c r="G286" s="1" t="s">
        <v>522</v>
      </c>
      <c r="H286" s="1" t="s">
        <v>1780</v>
      </c>
      <c r="I286" s="67">
        <v>1128.7</v>
      </c>
      <c r="J286" s="1" t="s">
        <v>449</v>
      </c>
      <c r="K286" s="105" t="s">
        <v>450</v>
      </c>
      <c r="L286" s="13" t="s">
        <v>451</v>
      </c>
      <c r="M286" s="1" t="s">
        <v>1802</v>
      </c>
      <c r="N286" s="50">
        <v>22293</v>
      </c>
      <c r="O286" s="76">
        <f>VLOOKUP(N286,Uzcard!C:P,4,0)</f>
        <v>7897</v>
      </c>
      <c r="P286" s="76">
        <f>VLOOKUP(N286,Uzcard!C:P,6,0)</f>
        <v>11795.4</v>
      </c>
      <c r="Q286" s="76">
        <f>VLOOKUP(N286,Uzcard!C:P,8,0)</f>
        <v>15107.65</v>
      </c>
      <c r="R286" s="76">
        <f>VLOOKUP(N286,Uzcard!C:P,10,0)</f>
        <v>12977.65</v>
      </c>
      <c r="S286" s="76">
        <f>VLOOKUP(N286,Uzcard!C:P,12,0)</f>
        <v>11833.9</v>
      </c>
      <c r="T286" s="76">
        <f>VLOOKUP(N286,Uzcard!C:P,14,0)</f>
        <v>12123.1</v>
      </c>
      <c r="U286" s="172">
        <f>IFERROR(VLOOKUP(N286,'2026 iyul uzcard'!A:D,3,0),"0")/1000</f>
        <v>6042.55</v>
      </c>
      <c r="V286" s="172"/>
      <c r="W286" s="172"/>
      <c r="X286" s="172"/>
      <c r="Y286" s="172"/>
      <c r="Z286" s="172"/>
      <c r="AA286" s="162">
        <f t="shared" si="8"/>
        <v>77777.250000000015</v>
      </c>
      <c r="AB286" s="162"/>
      <c r="AC286" s="162"/>
      <c r="AD286" s="1" t="s">
        <v>1608</v>
      </c>
      <c r="AE286" s="8">
        <v>131315497</v>
      </c>
    </row>
    <row r="287" spans="1:31">
      <c r="A287" s="71" t="s">
        <v>312</v>
      </c>
      <c r="B287" s="72" t="s">
        <v>1765</v>
      </c>
      <c r="C287" s="68" t="s">
        <v>2109</v>
      </c>
      <c r="D287" s="105" t="s">
        <v>731</v>
      </c>
      <c r="E287" s="105" t="s">
        <v>370</v>
      </c>
      <c r="F287" s="155" t="s">
        <v>371</v>
      </c>
      <c r="G287" s="1" t="s">
        <v>522</v>
      </c>
      <c r="H287" s="1" t="s">
        <v>1773</v>
      </c>
      <c r="I287" s="67">
        <v>1848</v>
      </c>
      <c r="J287" s="1" t="s">
        <v>1809</v>
      </c>
      <c r="K287" s="105" t="s">
        <v>452</v>
      </c>
      <c r="L287" s="13" t="s">
        <v>451</v>
      </c>
      <c r="M287" s="1" t="s">
        <v>453</v>
      </c>
      <c r="N287" s="50" t="s">
        <v>454</v>
      </c>
      <c r="O287" s="76">
        <f>VLOOKUP(N287,Humo!C:P,4,0)</f>
        <v>5611.4</v>
      </c>
      <c r="P287" s="77">
        <f>VLOOKUP(N287,Humo!C:P,6,0)</f>
        <v>9843.2000000000007</v>
      </c>
      <c r="Q287" s="77">
        <f>VLOOKUP(N287,Humo!C:P,8,0)</f>
        <v>8795</v>
      </c>
      <c r="R287" s="77">
        <f>VLOOKUP(N287,Humo!C:P,10,0)</f>
        <v>9661</v>
      </c>
      <c r="S287" s="77">
        <f>VLOOKUP(N287,Humo!C:P,12,0)</f>
        <v>5640.9</v>
      </c>
      <c r="T287" s="77">
        <f>VLOOKUP(N287,Humo!C:P,14,0)</f>
        <v>7150.4</v>
      </c>
      <c r="U287" s="77">
        <f>IFERROR(VLOOKUP(N287,'2026 iyul humo'!A:D,4,0),"0")/1000</f>
        <v>5457.25</v>
      </c>
      <c r="V287" s="77"/>
      <c r="W287" s="77"/>
      <c r="X287" s="77"/>
      <c r="Y287" s="77"/>
      <c r="Z287" s="77"/>
      <c r="AA287" s="162">
        <f t="shared" si="8"/>
        <v>52159.15</v>
      </c>
      <c r="AB287" s="162"/>
      <c r="AC287" s="162"/>
      <c r="AD287" s="1" t="s">
        <v>1605</v>
      </c>
      <c r="AE287" s="8">
        <v>62805331</v>
      </c>
    </row>
    <row r="288" spans="1:31">
      <c r="A288" s="71" t="s">
        <v>313</v>
      </c>
      <c r="B288" s="72" t="s">
        <v>1765</v>
      </c>
      <c r="C288" s="68" t="s">
        <v>2109</v>
      </c>
      <c r="D288" s="105" t="s">
        <v>731</v>
      </c>
      <c r="E288" s="105" t="s">
        <v>381</v>
      </c>
      <c r="F288" s="124" t="s">
        <v>382</v>
      </c>
      <c r="G288" s="90" t="s">
        <v>491</v>
      </c>
      <c r="H288" s="94"/>
      <c r="I288" s="94"/>
      <c r="J288" s="1" t="s">
        <v>1810</v>
      </c>
      <c r="K288" s="105" t="s">
        <v>455</v>
      </c>
      <c r="L288" s="13" t="s">
        <v>451</v>
      </c>
      <c r="M288" s="1" t="s">
        <v>456</v>
      </c>
      <c r="N288" s="50" t="s">
        <v>456</v>
      </c>
      <c r="O288" s="76">
        <f>IFERROR(VLOOKUP(N288,'2026 yanvar vash'!A:D,4,0),"0")/1000</f>
        <v>9.66</v>
      </c>
      <c r="P288" s="173">
        <f>IFERROR(VLOOKUP(N288,'2026 fevral vash'!A:D,4,0),"0")/1000</f>
        <v>18.940000000000001</v>
      </c>
      <c r="Q288" s="173">
        <f>IFERROR(VLOOKUP(N288,'2026 mart vash'!A:D,4,0),"0")/1000</f>
        <v>101.55</v>
      </c>
      <c r="R288" s="173">
        <f>IFERROR(VLOOKUP(N288,'2026 aprel vash'!A:D,4,0),"0")/1000</f>
        <v>53.69</v>
      </c>
      <c r="S288" s="173">
        <f>IFERROR(VLOOKUP(N288,'2026 may vash'!A:D,4,0),"0")/1000</f>
        <v>220.8</v>
      </c>
      <c r="T288" s="173">
        <f>IFERROR(VLOOKUP(N288,'2026 iyun vash'!A:D,4,0),"0")/1000</f>
        <v>0</v>
      </c>
      <c r="U288" s="173">
        <f>IFERROR(VLOOKUP(N288,'2026 iyul vash'!A:D,4,0),"0")/1000</f>
        <v>0</v>
      </c>
      <c r="V288" s="173"/>
      <c r="W288" s="173"/>
      <c r="X288" s="173"/>
      <c r="Y288" s="173"/>
      <c r="Z288" s="173"/>
      <c r="AA288" s="162">
        <f t="shared" si="8"/>
        <v>404.64</v>
      </c>
      <c r="AB288" s="162"/>
      <c r="AC288" s="162"/>
      <c r="AD288" s="1" t="s">
        <v>1565</v>
      </c>
      <c r="AE288" s="8">
        <v>216557286.44999999</v>
      </c>
    </row>
    <row r="289" spans="1:31">
      <c r="A289" s="71" t="s">
        <v>314</v>
      </c>
      <c r="B289" s="72" t="s">
        <v>1765</v>
      </c>
      <c r="C289" s="68" t="s">
        <v>2109</v>
      </c>
      <c r="D289" s="105" t="s">
        <v>973</v>
      </c>
      <c r="E289" s="105" t="s">
        <v>364</v>
      </c>
      <c r="F289" s="155" t="s">
        <v>475</v>
      </c>
      <c r="G289" s="1" t="s">
        <v>522</v>
      </c>
      <c r="H289" s="1" t="s">
        <v>1780</v>
      </c>
      <c r="I289" s="67">
        <v>1128.7</v>
      </c>
      <c r="J289" s="1" t="s">
        <v>457</v>
      </c>
      <c r="K289" s="105" t="s">
        <v>458</v>
      </c>
      <c r="L289" s="13" t="s">
        <v>459</v>
      </c>
      <c r="M289" s="1" t="s">
        <v>1803</v>
      </c>
      <c r="N289" s="50">
        <v>34789</v>
      </c>
      <c r="O289" s="76">
        <f>VLOOKUP(N289,Uzcard!C:P,4,0)</f>
        <v>0</v>
      </c>
      <c r="P289" s="76">
        <f>VLOOKUP(N289,Uzcard!C:P,6,0)</f>
        <v>8649.75</v>
      </c>
      <c r="Q289" s="76">
        <f>VLOOKUP(N289,Uzcard!C:P,8,0)</f>
        <v>10982</v>
      </c>
      <c r="R289" s="76">
        <f>VLOOKUP(N289,Uzcard!C:P,10,0)</f>
        <v>12516.8</v>
      </c>
      <c r="S289" s="76">
        <f>VLOOKUP(N289,Uzcard!C:P,12,0)</f>
        <v>8394.75</v>
      </c>
      <c r="T289" s="76">
        <f>VLOOKUP(N289,Uzcard!C:P,14,0)</f>
        <v>8999.5499999999993</v>
      </c>
      <c r="U289" s="172">
        <f>IFERROR(VLOOKUP(N289,'2026 iyul uzcard'!A:D,3,0),"0")/1000</f>
        <v>6889.85</v>
      </c>
      <c r="V289" s="172"/>
      <c r="W289" s="172"/>
      <c r="X289" s="172"/>
      <c r="Y289" s="172"/>
      <c r="Z289" s="172"/>
      <c r="AA289" s="162">
        <f t="shared" si="8"/>
        <v>56432.700000000004</v>
      </c>
      <c r="AB289" s="162"/>
      <c r="AC289" s="162"/>
      <c r="AD289" s="1" t="s">
        <v>1607</v>
      </c>
      <c r="AE289" s="8">
        <v>144808312</v>
      </c>
    </row>
    <row r="290" spans="1:31" s="89" customFormat="1">
      <c r="A290" s="71" t="s">
        <v>315</v>
      </c>
      <c r="B290" s="72" t="s">
        <v>1765</v>
      </c>
      <c r="C290" s="68" t="s">
        <v>2109</v>
      </c>
      <c r="D290" s="105" t="s">
        <v>973</v>
      </c>
      <c r="E290" s="108" t="s">
        <v>370</v>
      </c>
      <c r="F290" s="155" t="s">
        <v>475</v>
      </c>
      <c r="G290" s="1" t="s">
        <v>522</v>
      </c>
      <c r="H290" s="1" t="s">
        <v>1773</v>
      </c>
      <c r="I290" s="67">
        <v>1848</v>
      </c>
      <c r="J290" s="124" t="s">
        <v>1484</v>
      </c>
      <c r="K290" s="108" t="s">
        <v>460</v>
      </c>
      <c r="L290" s="155" t="s">
        <v>459</v>
      </c>
      <c r="M290" s="1" t="s">
        <v>461</v>
      </c>
      <c r="N290" s="50" t="s">
        <v>462</v>
      </c>
      <c r="O290" s="76">
        <f>VLOOKUP(N290,Humo!C:P,4,0)</f>
        <v>3178.9</v>
      </c>
      <c r="P290" s="77">
        <f>VLOOKUP(N290,Humo!C:P,6,0)</f>
        <v>4846.5</v>
      </c>
      <c r="Q290" s="77">
        <f>VLOOKUP(N290,Humo!C:P,8,0)</f>
        <v>5998.1</v>
      </c>
      <c r="R290" s="77">
        <f>VLOOKUP(N290,Humo!C:P,10,0)</f>
        <v>5860.7</v>
      </c>
      <c r="S290" s="77">
        <f>VLOOKUP(N290,Humo!C:P,12,0)</f>
        <v>4432.1000000000004</v>
      </c>
      <c r="T290" s="77">
        <f>VLOOKUP(N290,Humo!C:P,14,0)</f>
        <v>6695.8</v>
      </c>
      <c r="U290" s="77">
        <f>IFERROR(VLOOKUP(N290,'2026 iyul humo'!A:D,4,0),"0")/1000</f>
        <v>3594.8</v>
      </c>
      <c r="V290" s="77"/>
      <c r="W290" s="77"/>
      <c r="X290" s="77"/>
      <c r="Y290" s="77"/>
      <c r="Z290" s="77"/>
      <c r="AA290" s="162">
        <f t="shared" si="8"/>
        <v>34606.9</v>
      </c>
      <c r="AB290" s="162"/>
      <c r="AC290" s="162"/>
      <c r="AD290" s="1" t="s">
        <v>1606</v>
      </c>
      <c r="AE290" s="10">
        <v>105827950</v>
      </c>
    </row>
    <row r="291" spans="1:31" s="89" customFormat="1">
      <c r="A291" s="71" t="s">
        <v>316</v>
      </c>
      <c r="B291" s="72" t="s">
        <v>1765</v>
      </c>
      <c r="C291" s="68" t="s">
        <v>2109</v>
      </c>
      <c r="D291" s="108" t="s">
        <v>463</v>
      </c>
      <c r="E291" s="108" t="s">
        <v>370</v>
      </c>
      <c r="F291" s="155" t="s">
        <v>475</v>
      </c>
      <c r="G291" s="1" t="s">
        <v>522</v>
      </c>
      <c r="H291" s="1" t="s">
        <v>1773</v>
      </c>
      <c r="I291" s="67">
        <v>1848</v>
      </c>
      <c r="J291" s="124" t="s">
        <v>1485</v>
      </c>
      <c r="K291" s="108" t="s">
        <v>464</v>
      </c>
      <c r="L291" s="155" t="s">
        <v>465</v>
      </c>
      <c r="M291" s="1" t="s">
        <v>466</v>
      </c>
      <c r="N291" s="50" t="s">
        <v>467</v>
      </c>
      <c r="O291" s="76">
        <f>VLOOKUP(N291,Humo!C:P,4,0)</f>
        <v>2232.6</v>
      </c>
      <c r="P291" s="77">
        <f>VLOOKUP(N291,Humo!C:P,6,0)</f>
        <v>4971.3</v>
      </c>
      <c r="Q291" s="77">
        <f>VLOOKUP(N291,Humo!C:P,8,0)</f>
        <v>4417.3999999999996</v>
      </c>
      <c r="R291" s="77">
        <f>VLOOKUP(N291,Humo!C:P,10,0)</f>
        <v>3707.7</v>
      </c>
      <c r="S291" s="77">
        <f>VLOOKUP(N291,Humo!C:P,12,0)</f>
        <v>2477.6999999999998</v>
      </c>
      <c r="T291" s="77">
        <f>VLOOKUP(N291,Humo!C:P,14,0)</f>
        <v>3410.7</v>
      </c>
      <c r="U291" s="77">
        <f>IFERROR(VLOOKUP(N291,'2026 iyul humo'!A:D,4,0),"0")/1000</f>
        <v>3450.75</v>
      </c>
      <c r="V291" s="77"/>
      <c r="W291" s="77"/>
      <c r="X291" s="77"/>
      <c r="Y291" s="77"/>
      <c r="Z291" s="77"/>
      <c r="AA291" s="162">
        <f t="shared" si="8"/>
        <v>24668.15</v>
      </c>
      <c r="AB291" s="162"/>
      <c r="AC291" s="162"/>
      <c r="AD291" s="1" t="s">
        <v>1607</v>
      </c>
      <c r="AE291" s="10">
        <v>105827950</v>
      </c>
    </row>
    <row r="292" spans="1:31" s="89" customFormat="1">
      <c r="A292" s="71" t="s">
        <v>317</v>
      </c>
      <c r="B292" s="72" t="s">
        <v>1765</v>
      </c>
      <c r="C292" s="68" t="s">
        <v>2109</v>
      </c>
      <c r="D292" s="108" t="s">
        <v>974</v>
      </c>
      <c r="E292" s="108" t="s">
        <v>370</v>
      </c>
      <c r="F292" s="155" t="s">
        <v>475</v>
      </c>
      <c r="G292" s="1" t="s">
        <v>522</v>
      </c>
      <c r="H292" s="1" t="s">
        <v>1773</v>
      </c>
      <c r="I292" s="67">
        <v>1848</v>
      </c>
      <c r="J292" s="124" t="s">
        <v>468</v>
      </c>
      <c r="K292" s="108" t="s">
        <v>469</v>
      </c>
      <c r="L292" s="155" t="s">
        <v>470</v>
      </c>
      <c r="M292" s="1" t="s">
        <v>471</v>
      </c>
      <c r="N292" s="50" t="s">
        <v>472</v>
      </c>
      <c r="O292" s="76">
        <f>VLOOKUP(N292,Humo!C:P,4,0)</f>
        <v>0</v>
      </c>
      <c r="P292" s="77">
        <f>VLOOKUP(N292,Humo!C:P,6,0)</f>
        <v>0</v>
      </c>
      <c r="Q292" s="77">
        <f>VLOOKUP(N292,Humo!C:P,8,0)</f>
        <v>0</v>
      </c>
      <c r="R292" s="77">
        <f>VLOOKUP(N292,Humo!C:P,10,0)</f>
        <v>1169.5</v>
      </c>
      <c r="S292" s="77">
        <f>VLOOKUP(N292,Humo!C:P,12,0)</f>
        <v>1346.4</v>
      </c>
      <c r="T292" s="77">
        <f>VLOOKUP(N292,Humo!C:P,14,0)</f>
        <v>2054.6</v>
      </c>
      <c r="U292" s="77">
        <f>IFERROR(VLOOKUP(N292,'2026 iyul humo'!A:D,4,0),"0")/1000</f>
        <v>1948.45</v>
      </c>
      <c r="V292" s="77"/>
      <c r="W292" s="77"/>
      <c r="X292" s="77"/>
      <c r="Y292" s="77"/>
      <c r="Z292" s="77"/>
      <c r="AA292" s="162">
        <f t="shared" si="8"/>
        <v>6518.95</v>
      </c>
      <c r="AB292" s="162"/>
      <c r="AC292" s="162"/>
      <c r="AD292" s="1" t="s">
        <v>1609</v>
      </c>
      <c r="AE292" s="10">
        <v>100458192.93000001</v>
      </c>
    </row>
    <row r="293" spans="1:31">
      <c r="A293" s="71" t="s">
        <v>318</v>
      </c>
      <c r="B293" s="72" t="s">
        <v>1765</v>
      </c>
      <c r="C293" s="68" t="s">
        <v>2109</v>
      </c>
      <c r="D293" s="105" t="s">
        <v>24</v>
      </c>
      <c r="E293" s="105" t="s">
        <v>364</v>
      </c>
      <c r="F293" s="155" t="s">
        <v>474</v>
      </c>
      <c r="G293" s="1" t="s">
        <v>491</v>
      </c>
      <c r="H293" s="1"/>
      <c r="I293" s="1"/>
      <c r="J293" s="1" t="s">
        <v>473</v>
      </c>
      <c r="K293" s="105" t="s">
        <v>1610</v>
      </c>
      <c r="L293" s="13" t="s">
        <v>432</v>
      </c>
      <c r="M293" s="1" t="s">
        <v>1804</v>
      </c>
      <c r="N293" s="50">
        <v>15184</v>
      </c>
      <c r="O293" s="76">
        <f>VLOOKUP(N293,Uzcard!C:P,4,0)</f>
        <v>0</v>
      </c>
      <c r="P293" s="76">
        <f>VLOOKUP(N293,Uzcard!C:P,6,0)</f>
        <v>0</v>
      </c>
      <c r="Q293" s="76">
        <f>VLOOKUP(N293,Uzcard!C:P,8,0)</f>
        <v>0</v>
      </c>
      <c r="R293" s="76">
        <f>VLOOKUP(N293,Uzcard!C:P,10,0)</f>
        <v>0</v>
      </c>
      <c r="S293" s="76">
        <f>VLOOKUP(N293,Uzcard!C:P,12,0)</f>
        <v>0</v>
      </c>
      <c r="T293" s="76">
        <f>VLOOKUP(N293,Uzcard!C:P,14,0)</f>
        <v>0</v>
      </c>
      <c r="U293" s="172">
        <f>IFERROR(VLOOKUP(N293,'2026 iyul uzcard'!A:D,3,0),"0")/1000</f>
        <v>0</v>
      </c>
      <c r="V293" s="172"/>
      <c r="W293" s="172"/>
      <c r="X293" s="172"/>
      <c r="Y293" s="172"/>
      <c r="Z293" s="172"/>
      <c r="AA293" s="162">
        <f t="shared" si="8"/>
        <v>0</v>
      </c>
      <c r="AB293" s="162"/>
      <c r="AC293" s="162"/>
      <c r="AD293" s="1" t="s">
        <v>1611</v>
      </c>
      <c r="AE293" s="8">
        <v>108319139.76000001</v>
      </c>
    </row>
    <row r="294" spans="1:31">
      <c r="A294" s="71" t="s">
        <v>319</v>
      </c>
      <c r="B294" s="72" t="s">
        <v>1766</v>
      </c>
      <c r="C294" s="68" t="s">
        <v>19</v>
      </c>
      <c r="D294" s="73" t="s">
        <v>1243</v>
      </c>
      <c r="E294" s="71" t="s">
        <v>364</v>
      </c>
      <c r="F294" s="79" t="s">
        <v>474</v>
      </c>
      <c r="G294" s="71" t="s">
        <v>491</v>
      </c>
      <c r="H294" s="71"/>
      <c r="I294" s="71"/>
      <c r="J294" s="1" t="s">
        <v>975</v>
      </c>
      <c r="K294" s="97" t="s">
        <v>1620</v>
      </c>
      <c r="L294" s="71" t="s">
        <v>976</v>
      </c>
      <c r="M294" s="71">
        <v>901117202</v>
      </c>
      <c r="N294" s="75">
        <v>18003</v>
      </c>
      <c r="O294" s="76">
        <f>VLOOKUP(N294,Uzcard!C:P,4,0)</f>
        <v>0</v>
      </c>
      <c r="P294" s="76">
        <f>VLOOKUP(N294,Uzcard!C:P,6,0)</f>
        <v>0</v>
      </c>
      <c r="Q294" s="76">
        <f>VLOOKUP(N294,Uzcard!C:P,8,0)</f>
        <v>0</v>
      </c>
      <c r="R294" s="76">
        <f>VLOOKUP(N294,Uzcard!C:P,10,0)</f>
        <v>0</v>
      </c>
      <c r="S294" s="76">
        <f>VLOOKUP(N294,Uzcard!C:P,12,0)</f>
        <v>0</v>
      </c>
      <c r="T294" s="76">
        <f>VLOOKUP(N294,Uzcard!C:P,14,0)</f>
        <v>0</v>
      </c>
      <c r="U294" s="172">
        <f>IFERROR(VLOOKUP(N294,'2026 iyul uzcard'!A:D,3,0),"0")/1000</f>
        <v>0</v>
      </c>
      <c r="V294" s="172"/>
      <c r="W294" s="172"/>
      <c r="X294" s="172"/>
      <c r="Y294" s="172"/>
      <c r="Z294" s="172"/>
      <c r="AA294" s="162">
        <f t="shared" si="8"/>
        <v>0</v>
      </c>
      <c r="AB294" s="162"/>
      <c r="AC294" s="162"/>
      <c r="AD294" s="71" t="s">
        <v>1621</v>
      </c>
      <c r="AE294" s="77">
        <v>100458192.72</v>
      </c>
    </row>
    <row r="295" spans="1:31">
      <c r="A295" s="71" t="s">
        <v>320</v>
      </c>
      <c r="B295" s="72" t="s">
        <v>1766</v>
      </c>
      <c r="C295" s="68" t="s">
        <v>19</v>
      </c>
      <c r="D295" s="73" t="s">
        <v>1243</v>
      </c>
      <c r="E295" s="71" t="s">
        <v>364</v>
      </c>
      <c r="F295" s="79" t="s">
        <v>474</v>
      </c>
      <c r="G295" s="71" t="s">
        <v>491</v>
      </c>
      <c r="H295" s="71"/>
      <c r="I295" s="71"/>
      <c r="J295" s="71" t="s">
        <v>977</v>
      </c>
      <c r="K295" s="97" t="s">
        <v>1624</v>
      </c>
      <c r="L295" s="71" t="s">
        <v>976</v>
      </c>
      <c r="M295" s="71" t="s">
        <v>978</v>
      </c>
      <c r="N295" s="75">
        <v>14977</v>
      </c>
      <c r="O295" s="76">
        <f>VLOOKUP(N295,Uzcard!C:P,4,0)</f>
        <v>0</v>
      </c>
      <c r="P295" s="76">
        <f>VLOOKUP(N295,Uzcard!C:P,6,0)</f>
        <v>0</v>
      </c>
      <c r="Q295" s="76">
        <f>VLOOKUP(N295,Uzcard!C:P,8,0)</f>
        <v>0</v>
      </c>
      <c r="R295" s="76">
        <f>VLOOKUP(N295,Uzcard!C:P,10,0)</f>
        <v>0</v>
      </c>
      <c r="S295" s="76">
        <f>VLOOKUP(N295,Uzcard!C:P,12,0)</f>
        <v>0</v>
      </c>
      <c r="T295" s="76">
        <f>VLOOKUP(N295,Uzcard!C:P,14,0)</f>
        <v>0</v>
      </c>
      <c r="U295" s="172">
        <f>IFERROR(VLOOKUP(N295,'2026 iyul uzcard'!A:D,3,0),"0")/1000</f>
        <v>0</v>
      </c>
      <c r="V295" s="172"/>
      <c r="W295" s="172"/>
      <c r="X295" s="172"/>
      <c r="Y295" s="172"/>
      <c r="Z295" s="172"/>
      <c r="AA295" s="162">
        <f t="shared" si="8"/>
        <v>0</v>
      </c>
      <c r="AB295" s="162"/>
      <c r="AC295" s="162"/>
      <c r="AD295" s="71" t="s">
        <v>1625</v>
      </c>
      <c r="AE295" s="77">
        <v>108319139.8</v>
      </c>
    </row>
    <row r="296" spans="1:31">
      <c r="A296" s="71" t="s">
        <v>321</v>
      </c>
      <c r="B296" s="72" t="s">
        <v>1766</v>
      </c>
      <c r="C296" s="68" t="s">
        <v>19</v>
      </c>
      <c r="D296" s="73" t="s">
        <v>1243</v>
      </c>
      <c r="E296" s="71" t="s">
        <v>364</v>
      </c>
      <c r="F296" s="79" t="s">
        <v>474</v>
      </c>
      <c r="G296" s="71" t="s">
        <v>491</v>
      </c>
      <c r="H296" s="71"/>
      <c r="I296" s="71"/>
      <c r="J296" s="71" t="s">
        <v>979</v>
      </c>
      <c r="K296" s="97" t="s">
        <v>1626</v>
      </c>
      <c r="L296" s="71" t="s">
        <v>976</v>
      </c>
      <c r="M296" s="71">
        <v>901115198</v>
      </c>
      <c r="N296" s="75">
        <v>15974</v>
      </c>
      <c r="O296" s="76">
        <f>VLOOKUP(N296,Uzcard!C:P,4,0)</f>
        <v>11539.475</v>
      </c>
      <c r="P296" s="76">
        <f>VLOOKUP(N296,Uzcard!C:P,6,0)</f>
        <v>7028.75</v>
      </c>
      <c r="Q296" s="76">
        <f>VLOOKUP(N296,Uzcard!C:P,8,0)</f>
        <v>6062</v>
      </c>
      <c r="R296" s="76">
        <f>VLOOKUP(N296,Uzcard!C:P,10,0)</f>
        <v>9126.5</v>
      </c>
      <c r="S296" s="76">
        <f>VLOOKUP(N296,Uzcard!C:P,12,0)</f>
        <v>8022.25</v>
      </c>
      <c r="T296" s="76">
        <f>VLOOKUP(N296,Uzcard!C:P,14,0)</f>
        <v>9298.75</v>
      </c>
      <c r="U296" s="172">
        <f>IFERROR(VLOOKUP(N296,'2026 iyul uzcard'!A:D,3,0),"0")/1000</f>
        <v>8348</v>
      </c>
      <c r="V296" s="172"/>
      <c r="W296" s="172"/>
      <c r="X296" s="172"/>
      <c r="Y296" s="172"/>
      <c r="Z296" s="172"/>
      <c r="AA296" s="162">
        <f t="shared" si="8"/>
        <v>59425.724999999999</v>
      </c>
      <c r="AB296" s="162"/>
      <c r="AC296" s="162"/>
      <c r="AD296" s="71" t="s">
        <v>1627</v>
      </c>
      <c r="AE296" s="77">
        <v>106507213.69</v>
      </c>
    </row>
    <row r="297" spans="1:31">
      <c r="A297" s="71" t="s">
        <v>322</v>
      </c>
      <c r="B297" s="72" t="s">
        <v>1766</v>
      </c>
      <c r="C297" s="68" t="s">
        <v>19</v>
      </c>
      <c r="D297" s="73" t="s">
        <v>1243</v>
      </c>
      <c r="E297" s="71" t="s">
        <v>364</v>
      </c>
      <c r="F297" s="79" t="s">
        <v>475</v>
      </c>
      <c r="G297" s="71" t="s">
        <v>522</v>
      </c>
      <c r="H297" s="90" t="s">
        <v>1780</v>
      </c>
      <c r="I297" s="67">
        <v>1128.7</v>
      </c>
      <c r="J297" s="71" t="s">
        <v>980</v>
      </c>
      <c r="K297" s="97" t="s">
        <v>1629</v>
      </c>
      <c r="L297" s="71" t="s">
        <v>976</v>
      </c>
      <c r="M297" s="71">
        <v>901120211</v>
      </c>
      <c r="N297" s="75">
        <v>21088</v>
      </c>
      <c r="O297" s="76">
        <f>VLOOKUP(N297,Uzcard!C:P,4,0)</f>
        <v>5152.1499999999996</v>
      </c>
      <c r="P297" s="76">
        <f>VLOOKUP(N297,Uzcard!C:P,6,0)</f>
        <v>2446.4</v>
      </c>
      <c r="Q297" s="76">
        <f>VLOOKUP(N297,Uzcard!C:P,8,0)</f>
        <v>16093</v>
      </c>
      <c r="R297" s="76">
        <f>VLOOKUP(N297,Uzcard!C:P,10,0)</f>
        <v>12687.2</v>
      </c>
      <c r="S297" s="76">
        <f>VLOOKUP(N297,Uzcard!C:P,12,0)</f>
        <v>12251.1</v>
      </c>
      <c r="T297" s="76">
        <f>VLOOKUP(N297,Uzcard!C:P,14,0)</f>
        <v>18167.75</v>
      </c>
      <c r="U297" s="172">
        <f>IFERROR(VLOOKUP(N297,'2026 iyul uzcard'!A:D,3,0),"0")/1000</f>
        <v>18307.099999999999</v>
      </c>
      <c r="V297" s="172"/>
      <c r="W297" s="172"/>
      <c r="X297" s="172"/>
      <c r="Y297" s="172"/>
      <c r="Z297" s="172"/>
      <c r="AA297" s="162">
        <f t="shared" si="8"/>
        <v>85104.700000000012</v>
      </c>
      <c r="AB297" s="162"/>
      <c r="AC297" s="162"/>
      <c r="AD297" s="71" t="s">
        <v>1630</v>
      </c>
      <c r="AE297" s="77">
        <v>105827950</v>
      </c>
    </row>
    <row r="298" spans="1:31">
      <c r="A298" s="71" t="s">
        <v>323</v>
      </c>
      <c r="B298" s="72" t="s">
        <v>1766</v>
      </c>
      <c r="C298" s="68" t="s">
        <v>19</v>
      </c>
      <c r="D298" s="73" t="s">
        <v>1243</v>
      </c>
      <c r="E298" s="71" t="s">
        <v>370</v>
      </c>
      <c r="F298" s="79" t="s">
        <v>371</v>
      </c>
      <c r="G298" s="71" t="s">
        <v>522</v>
      </c>
      <c r="H298" s="98" t="s">
        <v>1773</v>
      </c>
      <c r="I298" s="67">
        <v>1848</v>
      </c>
      <c r="J298" s="71">
        <v>5310177627</v>
      </c>
      <c r="K298" s="97" t="s">
        <v>1618</v>
      </c>
      <c r="L298" s="71" t="s">
        <v>976</v>
      </c>
      <c r="M298" s="71" t="s">
        <v>981</v>
      </c>
      <c r="N298" s="82" t="s">
        <v>982</v>
      </c>
      <c r="O298" s="76">
        <f>VLOOKUP(N298,Humo!C:P,4,0)</f>
        <v>19517.2</v>
      </c>
      <c r="P298" s="77">
        <f>VLOOKUP(N298,Humo!C:P,6,0)</f>
        <v>12543.2</v>
      </c>
      <c r="Q298" s="77">
        <f>VLOOKUP(N298,Humo!C:P,8,0)</f>
        <v>13354.2</v>
      </c>
      <c r="R298" s="77">
        <f>VLOOKUP(N298,Humo!C:P,10,0)</f>
        <v>15280.1</v>
      </c>
      <c r="S298" s="77">
        <f>VLOOKUP(N298,Humo!C:P,12,0)</f>
        <v>20757.900000000001</v>
      </c>
      <c r="T298" s="77">
        <f>VLOOKUP(N298,Humo!C:P,14,0)</f>
        <v>15388.9</v>
      </c>
      <c r="U298" s="77">
        <f>IFERROR(VLOOKUP(N298,'2026 iyul humo'!A:D,4,0),"0")/1000</f>
        <v>17750</v>
      </c>
      <c r="V298" s="77"/>
      <c r="W298" s="77"/>
      <c r="X298" s="77"/>
      <c r="Y298" s="77"/>
      <c r="Z298" s="77"/>
      <c r="AA298" s="162">
        <f t="shared" si="8"/>
        <v>114591.5</v>
      </c>
      <c r="AB298" s="162"/>
      <c r="AC298" s="162"/>
      <c r="AD298" s="71" t="s">
        <v>1505</v>
      </c>
      <c r="AE298" s="77">
        <v>62805331</v>
      </c>
    </row>
    <row r="299" spans="1:31">
      <c r="A299" s="71" t="s">
        <v>324</v>
      </c>
      <c r="B299" s="72" t="s">
        <v>1766</v>
      </c>
      <c r="C299" s="68" t="s">
        <v>19</v>
      </c>
      <c r="D299" s="73" t="s">
        <v>1243</v>
      </c>
      <c r="E299" s="71" t="s">
        <v>370</v>
      </c>
      <c r="F299" s="79" t="s">
        <v>376</v>
      </c>
      <c r="G299" s="71" t="s">
        <v>522</v>
      </c>
      <c r="H299" s="98" t="s">
        <v>1773</v>
      </c>
      <c r="I299" s="67">
        <v>1848</v>
      </c>
      <c r="J299" s="112" t="s">
        <v>1458</v>
      </c>
      <c r="K299" s="97" t="s">
        <v>1612</v>
      </c>
      <c r="L299" s="71" t="s">
        <v>976</v>
      </c>
      <c r="M299" s="71" t="s">
        <v>983</v>
      </c>
      <c r="N299" s="75" t="s">
        <v>984</v>
      </c>
      <c r="O299" s="76">
        <f>VLOOKUP(N299,Humo!C:P,4,0)</f>
        <v>2528.1</v>
      </c>
      <c r="P299" s="77">
        <f>VLOOKUP(N299,Humo!C:P,6,0)</f>
        <v>5239.8999999999996</v>
      </c>
      <c r="Q299" s="77">
        <f>VLOOKUP(N299,Humo!C:P,8,0)</f>
        <v>6769.8</v>
      </c>
      <c r="R299" s="77">
        <f>VLOOKUP(N299,Humo!C:P,10,0)</f>
        <v>6239.9</v>
      </c>
      <c r="S299" s="77">
        <f>VLOOKUP(N299,Humo!C:P,12,0)</f>
        <v>2410.6</v>
      </c>
      <c r="T299" s="77">
        <f>VLOOKUP(N299,Humo!C:P,14,0)</f>
        <v>404.9</v>
      </c>
      <c r="U299" s="77">
        <f>IFERROR(VLOOKUP(N299,'2026 iyul humo'!A:D,4,0),"0")/1000</f>
        <v>2835.35</v>
      </c>
      <c r="V299" s="77"/>
      <c r="W299" s="77"/>
      <c r="X299" s="77"/>
      <c r="Y299" s="77"/>
      <c r="Z299" s="77"/>
      <c r="AA299" s="162">
        <f t="shared" si="8"/>
        <v>26428.549999999996</v>
      </c>
      <c r="AB299" s="162"/>
      <c r="AC299" s="162"/>
      <c r="AD299" s="71" t="s">
        <v>1613</v>
      </c>
      <c r="AE299" s="77">
        <v>168243023</v>
      </c>
    </row>
    <row r="300" spans="1:31">
      <c r="A300" s="71" t="s">
        <v>325</v>
      </c>
      <c r="B300" s="72" t="s">
        <v>1766</v>
      </c>
      <c r="C300" s="68" t="s">
        <v>19</v>
      </c>
      <c r="D300" s="73" t="s">
        <v>1243</v>
      </c>
      <c r="E300" s="71" t="s">
        <v>381</v>
      </c>
      <c r="F300" s="93" t="s">
        <v>382</v>
      </c>
      <c r="G300" s="94" t="s">
        <v>491</v>
      </c>
      <c r="H300" s="94"/>
      <c r="I300" s="94"/>
      <c r="J300" s="71">
        <v>2618258</v>
      </c>
      <c r="K300" s="97" t="s">
        <v>1614</v>
      </c>
      <c r="L300" s="71" t="s">
        <v>976</v>
      </c>
      <c r="M300" s="71" t="s">
        <v>985</v>
      </c>
      <c r="N300" s="75" t="s">
        <v>985</v>
      </c>
      <c r="O300" s="76">
        <f>IFERROR(VLOOKUP(N300,'2026 yanvar vash'!A:D,4,0),"0")/1000</f>
        <v>0</v>
      </c>
      <c r="P300" s="173">
        <f>IFERROR(VLOOKUP(N300,'2026 fevral vash'!A:D,4,0),"0")/1000</f>
        <v>0</v>
      </c>
      <c r="Q300" s="173">
        <f>IFERROR(VLOOKUP(N300,'2026 mart vash'!A:D,4,0),"0")/1000</f>
        <v>0</v>
      </c>
      <c r="R300" s="173">
        <f>IFERROR(VLOOKUP(N300,'2026 aprel vash'!A:D,4,0),"0")/1000</f>
        <v>0</v>
      </c>
      <c r="S300" s="173">
        <f>IFERROR(VLOOKUP(N300,'2026 may vash'!A:D,4,0),"0")/1000</f>
        <v>0</v>
      </c>
      <c r="T300" s="173">
        <f>IFERROR(VLOOKUP(N300,'2026 iyun vash'!A:D,4,0),"0")/1000</f>
        <v>0</v>
      </c>
      <c r="U300" s="173">
        <f>IFERROR(VLOOKUP(N300,'2026 iyul vash'!A:D,4,0),"0")/1000</f>
        <v>0</v>
      </c>
      <c r="V300" s="173"/>
      <c r="W300" s="173"/>
      <c r="X300" s="173"/>
      <c r="Y300" s="173"/>
      <c r="Z300" s="173"/>
      <c r="AA300" s="162">
        <f t="shared" si="8"/>
        <v>0</v>
      </c>
      <c r="AB300" s="162"/>
      <c r="AC300" s="162"/>
      <c r="AD300" s="71" t="s">
        <v>1615</v>
      </c>
      <c r="AE300" s="77">
        <v>171904842.81999999</v>
      </c>
    </row>
    <row r="301" spans="1:31">
      <c r="A301" s="71" t="s">
        <v>326</v>
      </c>
      <c r="B301" s="72" t="s">
        <v>1766</v>
      </c>
      <c r="C301" s="68" t="s">
        <v>19</v>
      </c>
      <c r="D301" s="73" t="s">
        <v>1243</v>
      </c>
      <c r="E301" s="83" t="s">
        <v>364</v>
      </c>
      <c r="F301" s="84" t="s">
        <v>1162</v>
      </c>
      <c r="G301" s="71" t="s">
        <v>522</v>
      </c>
      <c r="H301" s="1" t="s">
        <v>1780</v>
      </c>
      <c r="I301" s="67">
        <v>1128.7</v>
      </c>
      <c r="J301" s="71" t="s">
        <v>1423</v>
      </c>
      <c r="K301" s="79" t="s">
        <v>1424</v>
      </c>
      <c r="L301" s="71" t="s">
        <v>1425</v>
      </c>
      <c r="M301" s="71" t="s">
        <v>1426</v>
      </c>
      <c r="N301" s="75">
        <v>39989</v>
      </c>
      <c r="O301" s="76">
        <f>VLOOKUP(N301,Uzcard!C:P,4,0)</f>
        <v>0</v>
      </c>
      <c r="P301" s="76">
        <f>VLOOKUP(N301,Uzcard!C:P,6,0)</f>
        <v>0</v>
      </c>
      <c r="Q301" s="76">
        <f>VLOOKUP(N301,Uzcard!C:P,8,0)</f>
        <v>0</v>
      </c>
      <c r="R301" s="76">
        <f>VLOOKUP(N301,Uzcard!C:P,10,0)</f>
        <v>0</v>
      </c>
      <c r="S301" s="76">
        <f>VLOOKUP(N301,Uzcard!C:P,12,0)</f>
        <v>0</v>
      </c>
      <c r="T301" s="76">
        <f>VLOOKUP(N301,Uzcard!C:P,14,0)</f>
        <v>0</v>
      </c>
      <c r="U301" s="172">
        <f>IFERROR(VLOOKUP(N301,'2026 iyul uzcard'!A:D,3,0),"0")/1000</f>
        <v>0</v>
      </c>
      <c r="V301" s="172"/>
      <c r="W301" s="172"/>
      <c r="X301" s="172"/>
      <c r="Y301" s="172"/>
      <c r="Z301" s="172"/>
      <c r="AA301" s="162">
        <f t="shared" si="8"/>
        <v>0</v>
      </c>
      <c r="AB301" s="162"/>
      <c r="AC301" s="162"/>
      <c r="AD301" s="71" t="s">
        <v>1501</v>
      </c>
      <c r="AE301" s="77">
        <v>362504800</v>
      </c>
    </row>
    <row r="302" spans="1:31">
      <c r="A302" s="71" t="s">
        <v>327</v>
      </c>
      <c r="B302" s="72" t="s">
        <v>1766</v>
      </c>
      <c r="C302" s="68" t="s">
        <v>19</v>
      </c>
      <c r="D302" s="91" t="s">
        <v>986</v>
      </c>
      <c r="E302" s="71" t="s">
        <v>364</v>
      </c>
      <c r="F302" s="79" t="s">
        <v>475</v>
      </c>
      <c r="G302" s="71" t="s">
        <v>522</v>
      </c>
      <c r="H302" s="90" t="s">
        <v>1780</v>
      </c>
      <c r="I302" s="67">
        <v>1128.7</v>
      </c>
      <c r="J302" s="71" t="s">
        <v>987</v>
      </c>
      <c r="K302" s="97" t="s">
        <v>1631</v>
      </c>
      <c r="L302" s="71" t="s">
        <v>988</v>
      </c>
      <c r="M302" s="71">
        <v>901120210</v>
      </c>
      <c r="N302" s="75">
        <v>21087</v>
      </c>
      <c r="O302" s="76">
        <f>VLOOKUP(N302,Uzcard!C:P,4,0)</f>
        <v>12504.25</v>
      </c>
      <c r="P302" s="76">
        <f>VLOOKUP(N302,Uzcard!C:P,6,0)</f>
        <v>5538.3</v>
      </c>
      <c r="Q302" s="76">
        <f>VLOOKUP(N302,Uzcard!C:P,8,0)</f>
        <v>5691.15</v>
      </c>
      <c r="R302" s="76">
        <f>VLOOKUP(N302,Uzcard!C:P,10,0)</f>
        <v>12549.9</v>
      </c>
      <c r="S302" s="76">
        <f>VLOOKUP(N302,Uzcard!C:P,12,0)</f>
        <v>13156.25</v>
      </c>
      <c r="T302" s="76">
        <f>VLOOKUP(N302,Uzcard!C:P,14,0)</f>
        <v>12740.8</v>
      </c>
      <c r="U302" s="172">
        <f>IFERROR(VLOOKUP(N302,'2026 iyul uzcard'!A:D,3,0),"0")/1000</f>
        <v>10781.6</v>
      </c>
      <c r="V302" s="172"/>
      <c r="W302" s="172"/>
      <c r="X302" s="172"/>
      <c r="Y302" s="172"/>
      <c r="Z302" s="172"/>
      <c r="AA302" s="162">
        <f t="shared" si="8"/>
        <v>72962.25</v>
      </c>
      <c r="AB302" s="162"/>
      <c r="AC302" s="162"/>
      <c r="AD302" s="71" t="s">
        <v>1502</v>
      </c>
      <c r="AE302" s="77">
        <v>131315497</v>
      </c>
    </row>
    <row r="303" spans="1:31">
      <c r="A303" s="71" t="s">
        <v>328</v>
      </c>
      <c r="B303" s="72" t="s">
        <v>1766</v>
      </c>
      <c r="C303" s="68" t="s">
        <v>19</v>
      </c>
      <c r="D303" s="91" t="s">
        <v>986</v>
      </c>
      <c r="E303" s="71" t="s">
        <v>370</v>
      </c>
      <c r="F303" s="79" t="s">
        <v>371</v>
      </c>
      <c r="G303" s="71" t="s">
        <v>522</v>
      </c>
      <c r="H303" s="98" t="s">
        <v>1773</v>
      </c>
      <c r="I303" s="67">
        <v>1848</v>
      </c>
      <c r="J303" s="71">
        <v>5310178078</v>
      </c>
      <c r="K303" s="97" t="s">
        <v>1619</v>
      </c>
      <c r="L303" s="71" t="s">
        <v>988</v>
      </c>
      <c r="M303" s="71" t="s">
        <v>989</v>
      </c>
      <c r="N303" s="82" t="s">
        <v>990</v>
      </c>
      <c r="O303" s="76">
        <f>VLOOKUP(N303,Humo!C:P,4,0)</f>
        <v>8.9</v>
      </c>
      <c r="P303" s="77">
        <f>VLOOKUP(N303,Humo!C:P,6,0)</f>
        <v>2322.6</v>
      </c>
      <c r="Q303" s="77">
        <f>VLOOKUP(N303,Humo!C:P,8,0)</f>
        <v>510.15</v>
      </c>
      <c r="R303" s="77">
        <f>VLOOKUP(N303,Humo!C:P,10,0)</f>
        <v>2782.1</v>
      </c>
      <c r="S303" s="77">
        <f>VLOOKUP(N303,Humo!C:P,12,0)</f>
        <v>2812.25</v>
      </c>
      <c r="T303" s="77">
        <f>VLOOKUP(N303,Humo!C:P,14,0)</f>
        <v>4634.25</v>
      </c>
      <c r="U303" s="77">
        <f>IFERROR(VLOOKUP(N303,'2026 iyul humo'!A:D,4,0),"0")/1000</f>
        <v>6426.9</v>
      </c>
      <c r="V303" s="77"/>
      <c r="W303" s="77"/>
      <c r="X303" s="77"/>
      <c r="Y303" s="77"/>
      <c r="Z303" s="77"/>
      <c r="AA303" s="162">
        <f t="shared" si="8"/>
        <v>19497.150000000001</v>
      </c>
      <c r="AB303" s="162"/>
      <c r="AC303" s="162"/>
      <c r="AD303" s="71" t="s">
        <v>1505</v>
      </c>
      <c r="AE303" s="77">
        <v>62805331</v>
      </c>
    </row>
    <row r="304" spans="1:31">
      <c r="A304" s="71" t="s">
        <v>329</v>
      </c>
      <c r="B304" s="72" t="s">
        <v>1766</v>
      </c>
      <c r="C304" s="68" t="s">
        <v>19</v>
      </c>
      <c r="D304" s="91" t="s">
        <v>986</v>
      </c>
      <c r="E304" s="71" t="s">
        <v>381</v>
      </c>
      <c r="F304" s="93" t="s">
        <v>382</v>
      </c>
      <c r="G304" s="94" t="s">
        <v>491</v>
      </c>
      <c r="H304" s="94"/>
      <c r="I304" s="94"/>
      <c r="J304" s="71">
        <v>1319353</v>
      </c>
      <c r="K304" s="97" t="s">
        <v>1616</v>
      </c>
      <c r="L304" s="71" t="s">
        <v>988</v>
      </c>
      <c r="M304" s="71" t="s">
        <v>991</v>
      </c>
      <c r="N304" s="75" t="s">
        <v>991</v>
      </c>
      <c r="O304" s="76">
        <f>IFERROR(VLOOKUP(N304,'2026 yanvar vash'!A:D,4,0),"0")/1000</f>
        <v>0</v>
      </c>
      <c r="P304" s="173">
        <f>IFERROR(VLOOKUP(N304,'2026 fevral vash'!A:D,4,0),"0")/1000</f>
        <v>0</v>
      </c>
      <c r="Q304" s="173">
        <f>IFERROR(VLOOKUP(N304,'2026 mart vash'!A:D,4,0),"0")/1000</f>
        <v>0</v>
      </c>
      <c r="R304" s="173">
        <f>IFERROR(VLOOKUP(N304,'2026 aprel vash'!A:D,4,0),"0")/1000</f>
        <v>0</v>
      </c>
      <c r="S304" s="173">
        <f>IFERROR(VLOOKUP(N304,'2026 may vash'!A:D,4,0),"0")/1000</f>
        <v>0</v>
      </c>
      <c r="T304" s="173">
        <f>IFERROR(VLOOKUP(N304,'2026 iyun vash'!A:D,4,0),"0")/1000</f>
        <v>0</v>
      </c>
      <c r="U304" s="173">
        <f>IFERROR(VLOOKUP(N304,'2026 iyul vash'!A:D,4,0),"0")/1000</f>
        <v>0</v>
      </c>
      <c r="V304" s="173"/>
      <c r="W304" s="173"/>
      <c r="X304" s="173"/>
      <c r="Y304" s="173"/>
      <c r="Z304" s="173"/>
      <c r="AA304" s="162">
        <f t="shared" si="8"/>
        <v>0</v>
      </c>
      <c r="AB304" s="162"/>
      <c r="AC304" s="162"/>
      <c r="AD304" s="71" t="s">
        <v>1568</v>
      </c>
      <c r="AE304" s="77">
        <v>216557286.44999999</v>
      </c>
    </row>
    <row r="305" spans="1:31">
      <c r="A305" s="71" t="s">
        <v>330</v>
      </c>
      <c r="B305" s="72" t="s">
        <v>1766</v>
      </c>
      <c r="C305" s="68" t="s">
        <v>19</v>
      </c>
      <c r="D305" s="91" t="s">
        <v>1007</v>
      </c>
      <c r="E305" s="71" t="s">
        <v>364</v>
      </c>
      <c r="F305" s="79" t="s">
        <v>475</v>
      </c>
      <c r="G305" s="71" t="s">
        <v>522</v>
      </c>
      <c r="H305" s="90" t="s">
        <v>1780</v>
      </c>
      <c r="I305" s="67">
        <v>1128.7</v>
      </c>
      <c r="J305" s="71" t="s">
        <v>992</v>
      </c>
      <c r="K305" s="97" t="s">
        <v>1632</v>
      </c>
      <c r="L305" s="71" t="s">
        <v>993</v>
      </c>
      <c r="M305" s="71">
        <v>901124782</v>
      </c>
      <c r="N305" s="75">
        <v>25806</v>
      </c>
      <c r="O305" s="76">
        <f>VLOOKUP(N305,Uzcard!C:P,4,0)</f>
        <v>12600.6</v>
      </c>
      <c r="P305" s="76">
        <f>VLOOKUP(N305,Uzcard!C:P,6,0)</f>
        <v>5984.85</v>
      </c>
      <c r="Q305" s="76">
        <f>VLOOKUP(N305,Uzcard!C:P,8,0)</f>
        <v>17863.599999999999</v>
      </c>
      <c r="R305" s="76">
        <f>VLOOKUP(N305,Uzcard!C:P,10,0)</f>
        <v>16580</v>
      </c>
      <c r="S305" s="76">
        <f>VLOOKUP(N305,Uzcard!C:P,12,0)</f>
        <v>11987.25</v>
      </c>
      <c r="T305" s="76">
        <f>VLOOKUP(N305,Uzcard!C:P,14,0)</f>
        <v>16364.6</v>
      </c>
      <c r="U305" s="172">
        <f>IFERROR(VLOOKUP(N305,'2026 iyul uzcard'!A:D,3,0),"0")/1000</f>
        <v>12517.1</v>
      </c>
      <c r="V305" s="172"/>
      <c r="W305" s="172"/>
      <c r="X305" s="172"/>
      <c r="Y305" s="172"/>
      <c r="Z305" s="172"/>
      <c r="AA305" s="162">
        <f t="shared" si="8"/>
        <v>93898.000000000015</v>
      </c>
      <c r="AB305" s="162"/>
      <c r="AC305" s="162"/>
      <c r="AD305" s="71" t="s">
        <v>1502</v>
      </c>
      <c r="AE305" s="77">
        <v>131315497</v>
      </c>
    </row>
    <row r="306" spans="1:31">
      <c r="A306" s="71" t="s">
        <v>331</v>
      </c>
      <c r="B306" s="72" t="s">
        <v>1766</v>
      </c>
      <c r="C306" s="68" t="s">
        <v>19</v>
      </c>
      <c r="D306" s="91" t="s">
        <v>1007</v>
      </c>
      <c r="E306" s="71" t="s">
        <v>364</v>
      </c>
      <c r="F306" s="79" t="s">
        <v>475</v>
      </c>
      <c r="G306" s="71" t="s">
        <v>522</v>
      </c>
      <c r="H306" s="90" t="s">
        <v>1780</v>
      </c>
      <c r="I306" s="67">
        <v>1128.7</v>
      </c>
      <c r="J306" s="71" t="s">
        <v>994</v>
      </c>
      <c r="K306" s="97" t="s">
        <v>1633</v>
      </c>
      <c r="L306" s="71" t="s">
        <v>993</v>
      </c>
      <c r="M306" s="71">
        <v>901120322</v>
      </c>
      <c r="N306" s="75">
        <v>21207</v>
      </c>
      <c r="O306" s="76">
        <f>VLOOKUP(N306,Uzcard!C:P,4,0)</f>
        <v>5546.9</v>
      </c>
      <c r="P306" s="76">
        <f>VLOOKUP(N306,Uzcard!C:P,6,0)</f>
        <v>5448.15</v>
      </c>
      <c r="Q306" s="76">
        <f>VLOOKUP(N306,Uzcard!C:P,8,0)</f>
        <v>12522.95</v>
      </c>
      <c r="R306" s="76">
        <f>VLOOKUP(N306,Uzcard!C:P,10,0)</f>
        <v>12395.2</v>
      </c>
      <c r="S306" s="76">
        <f>VLOOKUP(N306,Uzcard!C:P,12,0)</f>
        <v>10995.5</v>
      </c>
      <c r="T306" s="76">
        <f>VLOOKUP(N306,Uzcard!C:P,14,0)</f>
        <v>10894</v>
      </c>
      <c r="U306" s="172">
        <f>IFERROR(VLOOKUP(N306,'2026 iyul uzcard'!A:D,3,0),"0")/1000</f>
        <v>9199.6</v>
      </c>
      <c r="V306" s="172"/>
      <c r="W306" s="172"/>
      <c r="X306" s="172"/>
      <c r="Y306" s="172"/>
      <c r="Z306" s="172"/>
      <c r="AA306" s="162">
        <f t="shared" si="8"/>
        <v>67002.3</v>
      </c>
      <c r="AB306" s="162"/>
      <c r="AC306" s="162"/>
      <c r="AD306" s="71" t="s">
        <v>1634</v>
      </c>
      <c r="AE306" s="77">
        <v>131315497</v>
      </c>
    </row>
    <row r="307" spans="1:31">
      <c r="A307" s="71" t="s">
        <v>332</v>
      </c>
      <c r="B307" s="72" t="s">
        <v>1766</v>
      </c>
      <c r="C307" s="68" t="s">
        <v>19</v>
      </c>
      <c r="D307" s="91" t="s">
        <v>1007</v>
      </c>
      <c r="E307" s="71" t="s">
        <v>381</v>
      </c>
      <c r="F307" s="93" t="s">
        <v>382</v>
      </c>
      <c r="G307" s="94" t="s">
        <v>491</v>
      </c>
      <c r="H307" s="94"/>
      <c r="I307" s="94"/>
      <c r="J307" s="71">
        <v>1319339</v>
      </c>
      <c r="K307" s="97" t="s">
        <v>1617</v>
      </c>
      <c r="L307" s="71" t="s">
        <v>993</v>
      </c>
      <c r="M307" s="71" t="s">
        <v>995</v>
      </c>
      <c r="N307" s="75" t="s">
        <v>995</v>
      </c>
      <c r="O307" s="76">
        <f>IFERROR(VLOOKUP(N307,'2026 yanvar vash'!A:D,4,0),"0")/1000</f>
        <v>0</v>
      </c>
      <c r="P307" s="173">
        <f>IFERROR(VLOOKUP(N307,'2026 fevral vash'!A:D,4,0),"0")/1000</f>
        <v>0</v>
      </c>
      <c r="Q307" s="173">
        <f>IFERROR(VLOOKUP(N307,'2026 mart vash'!A:D,4,0),"0")/1000</f>
        <v>0</v>
      </c>
      <c r="R307" s="173">
        <f>IFERROR(VLOOKUP(N307,'2026 aprel vash'!A:D,4,0),"0")/1000</f>
        <v>0</v>
      </c>
      <c r="S307" s="173">
        <f>IFERROR(VLOOKUP(N307,'2026 may vash'!A:D,4,0),"0")/1000</f>
        <v>0</v>
      </c>
      <c r="T307" s="173">
        <f>IFERROR(VLOOKUP(N307,'2026 iyun vash'!A:D,4,0),"0")/1000</f>
        <v>0</v>
      </c>
      <c r="U307" s="173">
        <f>IFERROR(VLOOKUP(N307,'2026 iyul vash'!A:D,4,0),"0")/1000</f>
        <v>0</v>
      </c>
      <c r="V307" s="173"/>
      <c r="W307" s="173"/>
      <c r="X307" s="173"/>
      <c r="Y307" s="173"/>
      <c r="Z307" s="173"/>
      <c r="AA307" s="162">
        <f t="shared" si="8"/>
        <v>0</v>
      </c>
      <c r="AB307" s="162"/>
      <c r="AC307" s="162"/>
      <c r="AD307" s="71" t="s">
        <v>1592</v>
      </c>
      <c r="AE307" s="77">
        <v>216557286.44999999</v>
      </c>
    </row>
    <row r="308" spans="1:31" s="89" customFormat="1">
      <c r="A308" s="71" t="s">
        <v>333</v>
      </c>
      <c r="B308" s="72" t="s">
        <v>1766</v>
      </c>
      <c r="C308" s="69" t="s">
        <v>19</v>
      </c>
      <c r="D308" s="91" t="s">
        <v>1007</v>
      </c>
      <c r="E308" s="79" t="s">
        <v>370</v>
      </c>
      <c r="F308" s="79" t="s">
        <v>475</v>
      </c>
      <c r="G308" s="79" t="s">
        <v>522</v>
      </c>
      <c r="H308" s="99" t="s">
        <v>1773</v>
      </c>
      <c r="I308" s="67">
        <v>1848</v>
      </c>
      <c r="J308" s="79" t="s">
        <v>996</v>
      </c>
      <c r="K308" s="97" t="s">
        <v>1635</v>
      </c>
      <c r="L308" s="79" t="s">
        <v>993</v>
      </c>
      <c r="M308" s="79" t="s">
        <v>997</v>
      </c>
      <c r="N308" s="109" t="s">
        <v>998</v>
      </c>
      <c r="O308" s="76">
        <f>VLOOKUP(N308,Humo!C:P,4,0)</f>
        <v>8945.9</v>
      </c>
      <c r="P308" s="77">
        <f>VLOOKUP(N308,Humo!C:P,6,0)</f>
        <v>8064.9</v>
      </c>
      <c r="Q308" s="77">
        <f>VLOOKUP(N308,Humo!C:P,8,0)</f>
        <v>15685.3</v>
      </c>
      <c r="R308" s="77">
        <f>VLOOKUP(N308,Humo!C:P,10,0)</f>
        <v>21298.400000000001</v>
      </c>
      <c r="S308" s="77">
        <f>VLOOKUP(N308,Humo!C:P,12,0)</f>
        <v>18534.5</v>
      </c>
      <c r="T308" s="77">
        <f>VLOOKUP(N308,Humo!C:P,14,0)</f>
        <v>17999.599999999999</v>
      </c>
      <c r="U308" s="77">
        <f>IFERROR(VLOOKUP(N308,'2026 iyul humo'!A:D,4,0),"0")/1000</f>
        <v>20280.650000000001</v>
      </c>
      <c r="V308" s="77"/>
      <c r="W308" s="77"/>
      <c r="X308" s="77"/>
      <c r="Y308" s="77"/>
      <c r="Z308" s="77"/>
      <c r="AA308" s="162">
        <f t="shared" si="8"/>
        <v>110809.25</v>
      </c>
      <c r="AB308" s="162"/>
      <c r="AC308" s="162"/>
      <c r="AD308" s="79" t="s">
        <v>1630</v>
      </c>
      <c r="AE308" s="88">
        <v>144808312</v>
      </c>
    </row>
    <row r="309" spans="1:31">
      <c r="A309" s="71" t="s">
        <v>334</v>
      </c>
      <c r="B309" s="72" t="s">
        <v>1766</v>
      </c>
      <c r="C309" s="68" t="s">
        <v>19</v>
      </c>
      <c r="D309" s="91" t="s">
        <v>1007</v>
      </c>
      <c r="E309" s="71" t="s">
        <v>370</v>
      </c>
      <c r="F309" s="79" t="s">
        <v>371</v>
      </c>
      <c r="G309" s="71" t="s">
        <v>522</v>
      </c>
      <c r="H309" s="98" t="s">
        <v>1773</v>
      </c>
      <c r="I309" s="67">
        <v>1848</v>
      </c>
      <c r="J309" s="71">
        <v>5310178005</v>
      </c>
      <c r="K309" s="97" t="s">
        <v>1622</v>
      </c>
      <c r="L309" s="71" t="s">
        <v>993</v>
      </c>
      <c r="M309" s="71" t="s">
        <v>999</v>
      </c>
      <c r="N309" s="75" t="s">
        <v>1000</v>
      </c>
      <c r="O309" s="76">
        <f>VLOOKUP(N309,Humo!C:P,4,0)</f>
        <v>2388.1999999999998</v>
      </c>
      <c r="P309" s="77">
        <f>VLOOKUP(N309,Humo!C:P,6,0)</f>
        <v>2464.5</v>
      </c>
      <c r="Q309" s="77">
        <f>VLOOKUP(N309,Humo!C:P,8,0)</f>
        <v>9143.2000000000007</v>
      </c>
      <c r="R309" s="77">
        <f>VLOOKUP(N309,Humo!C:P,10,0)</f>
        <v>8095.5</v>
      </c>
      <c r="S309" s="77">
        <f>VLOOKUP(N309,Humo!C:P,12,0)</f>
        <v>1076.5</v>
      </c>
      <c r="T309" s="77">
        <f>VLOOKUP(N309,Humo!C:P,14,0)</f>
        <v>4485.5</v>
      </c>
      <c r="U309" s="77">
        <f>IFERROR(VLOOKUP(N309,'2026 iyul humo'!A:D,4,0),"0")/1000</f>
        <v>3279.25</v>
      </c>
      <c r="V309" s="77"/>
      <c r="W309" s="77"/>
      <c r="X309" s="77"/>
      <c r="Y309" s="77"/>
      <c r="Z309" s="77"/>
      <c r="AA309" s="162">
        <f t="shared" si="8"/>
        <v>30932.65</v>
      </c>
      <c r="AB309" s="162"/>
      <c r="AC309" s="162"/>
      <c r="AD309" s="71" t="s">
        <v>1569</v>
      </c>
      <c r="AE309" s="77">
        <v>63098415.920000002</v>
      </c>
    </row>
    <row r="310" spans="1:31">
      <c r="A310" s="71" t="s">
        <v>335</v>
      </c>
      <c r="B310" s="72" t="s">
        <v>1766</v>
      </c>
      <c r="C310" s="68" t="s">
        <v>19</v>
      </c>
      <c r="D310" s="91" t="s">
        <v>1007</v>
      </c>
      <c r="E310" s="71" t="s">
        <v>370</v>
      </c>
      <c r="F310" s="79" t="s">
        <v>371</v>
      </c>
      <c r="G310" s="71" t="s">
        <v>522</v>
      </c>
      <c r="H310" s="98" t="s">
        <v>1773</v>
      </c>
      <c r="I310" s="67">
        <v>1848</v>
      </c>
      <c r="J310" s="71">
        <v>5310177516</v>
      </c>
      <c r="K310" s="97" t="s">
        <v>1623</v>
      </c>
      <c r="L310" s="71" t="s">
        <v>993</v>
      </c>
      <c r="M310" s="71" t="s">
        <v>1001</v>
      </c>
      <c r="N310" s="75" t="s">
        <v>1002</v>
      </c>
      <c r="O310" s="76">
        <f>VLOOKUP(N310,Humo!C:P,4,0)</f>
        <v>5181.3</v>
      </c>
      <c r="P310" s="77">
        <f>VLOOKUP(N310,Humo!C:P,6,0)</f>
        <v>8167.6</v>
      </c>
      <c r="Q310" s="77">
        <f>VLOOKUP(N310,Humo!C:P,8,0)</f>
        <v>21332.400000000001</v>
      </c>
      <c r="R310" s="77">
        <f>VLOOKUP(N310,Humo!C:P,10,0)</f>
        <v>18282.599999999999</v>
      </c>
      <c r="S310" s="77">
        <f>VLOOKUP(N310,Humo!C:P,12,0)</f>
        <v>15258.5</v>
      </c>
      <c r="T310" s="77">
        <f>VLOOKUP(N310,Humo!C:P,14,0)</f>
        <v>5893.5</v>
      </c>
      <c r="U310" s="77">
        <f>IFERROR(VLOOKUP(N310,'2026 iyul humo'!A:D,4,0),"0")/1000</f>
        <v>8780.4</v>
      </c>
      <c r="V310" s="77"/>
      <c r="W310" s="77"/>
      <c r="X310" s="77"/>
      <c r="Y310" s="77"/>
      <c r="Z310" s="77"/>
      <c r="AA310" s="162">
        <f t="shared" si="8"/>
        <v>82896.299999999988</v>
      </c>
      <c r="AB310" s="162"/>
      <c r="AC310" s="162"/>
      <c r="AD310" s="71" t="s">
        <v>1502</v>
      </c>
      <c r="AE310" s="77">
        <v>62805331</v>
      </c>
    </row>
    <row r="311" spans="1:31" s="89" customFormat="1">
      <c r="A311" s="71" t="s">
        <v>336</v>
      </c>
      <c r="B311" s="72" t="s">
        <v>1766</v>
      </c>
      <c r="C311" s="69" t="s">
        <v>19</v>
      </c>
      <c r="D311" s="74" t="s">
        <v>1008</v>
      </c>
      <c r="E311" s="79" t="s">
        <v>370</v>
      </c>
      <c r="F311" s="79" t="s">
        <v>475</v>
      </c>
      <c r="G311" s="79" t="s">
        <v>522</v>
      </c>
      <c r="H311" s="99" t="s">
        <v>1773</v>
      </c>
      <c r="I311" s="67">
        <v>1848</v>
      </c>
      <c r="J311" s="79" t="s">
        <v>1003</v>
      </c>
      <c r="K311" s="97" t="s">
        <v>1628</v>
      </c>
      <c r="L311" s="79" t="s">
        <v>1004</v>
      </c>
      <c r="M311" s="79" t="s">
        <v>1005</v>
      </c>
      <c r="N311" s="109" t="s">
        <v>1006</v>
      </c>
      <c r="O311" s="76">
        <f>VLOOKUP(N311,Humo!C:P,4,0)</f>
        <v>2766.2</v>
      </c>
      <c r="P311" s="77">
        <f>VLOOKUP(N311,Humo!C:P,6,0)</f>
        <v>866.6</v>
      </c>
      <c r="Q311" s="77">
        <f>VLOOKUP(N311,Humo!C:P,8,0)</f>
        <v>2460.6999999999998</v>
      </c>
      <c r="R311" s="77">
        <f>VLOOKUP(N311,Humo!C:P,10,0)</f>
        <v>5501</v>
      </c>
      <c r="S311" s="77">
        <f>VLOOKUP(N311,Humo!C:P,12,0)</f>
        <v>10776.3</v>
      </c>
      <c r="T311" s="77">
        <f>VLOOKUP(N311,Humo!C:P,14,0)</f>
        <v>16218</v>
      </c>
      <c r="U311" s="77">
        <f>IFERROR(VLOOKUP(N311,'2026 iyul humo'!A:D,4,0),"0")/1000</f>
        <v>20092.849999999999</v>
      </c>
      <c r="V311" s="77"/>
      <c r="W311" s="77"/>
      <c r="X311" s="77"/>
      <c r="Y311" s="77"/>
      <c r="Z311" s="77"/>
      <c r="AA311" s="162">
        <f t="shared" si="8"/>
        <v>58681.65</v>
      </c>
      <c r="AB311" s="162"/>
      <c r="AC311" s="162"/>
      <c r="AD311" s="79" t="s">
        <v>1503</v>
      </c>
      <c r="AE311" s="88">
        <v>105827950</v>
      </c>
    </row>
    <row r="312" spans="1:31">
      <c r="A312" s="71" t="s">
        <v>337</v>
      </c>
      <c r="B312" s="72" t="s">
        <v>1767</v>
      </c>
      <c r="C312" s="68" t="s">
        <v>20</v>
      </c>
      <c r="D312" s="73" t="s">
        <v>1243</v>
      </c>
      <c r="E312" s="71" t="s">
        <v>364</v>
      </c>
      <c r="F312" s="74" t="s">
        <v>475</v>
      </c>
      <c r="G312" s="156" t="s">
        <v>522</v>
      </c>
      <c r="H312" s="90" t="s">
        <v>1780</v>
      </c>
      <c r="I312" s="67">
        <v>1128.7</v>
      </c>
      <c r="J312" s="71" t="s">
        <v>877</v>
      </c>
      <c r="K312" s="71">
        <v>223000989</v>
      </c>
      <c r="L312" s="71" t="s">
        <v>878</v>
      </c>
      <c r="M312" s="71" t="s">
        <v>879</v>
      </c>
      <c r="N312" s="75">
        <v>21268</v>
      </c>
      <c r="O312" s="76">
        <f>VLOOKUP(N312,Uzcard!C:P,4,0)</f>
        <v>21324.474999999999</v>
      </c>
      <c r="P312" s="76">
        <f>VLOOKUP(N312,Uzcard!C:P,6,0)</f>
        <v>22125.275000000001</v>
      </c>
      <c r="Q312" s="76">
        <f>VLOOKUP(N312,Uzcard!C:P,8,0)</f>
        <v>21003.35</v>
      </c>
      <c r="R312" s="76">
        <f>VLOOKUP(N312,Uzcard!C:P,10,0)</f>
        <v>21347.45</v>
      </c>
      <c r="S312" s="76">
        <f>VLOOKUP(N312,Uzcard!C:P,12,0)</f>
        <v>29436.35</v>
      </c>
      <c r="T312" s="76">
        <f>VLOOKUP(N312,Uzcard!C:P,14,0)</f>
        <v>20590.75</v>
      </c>
      <c r="U312" s="172">
        <f>IFERROR(VLOOKUP(N312,'2026 iyul uzcard'!A:D,3,0),"0")/1000</f>
        <v>24391.3</v>
      </c>
      <c r="V312" s="172"/>
      <c r="W312" s="172"/>
      <c r="X312" s="172"/>
      <c r="Y312" s="172"/>
      <c r="Z312" s="172"/>
      <c r="AA312" s="162">
        <f t="shared" si="8"/>
        <v>160218.94999999998</v>
      </c>
      <c r="AB312" s="162"/>
      <c r="AC312" s="162"/>
      <c r="AD312" s="71" t="s">
        <v>1535</v>
      </c>
      <c r="AE312" s="77">
        <v>131315497</v>
      </c>
    </row>
    <row r="313" spans="1:31">
      <c r="A313" s="71" t="s">
        <v>338</v>
      </c>
      <c r="B313" s="72" t="s">
        <v>1767</v>
      </c>
      <c r="C313" s="68" t="s">
        <v>20</v>
      </c>
      <c r="D313" s="73" t="s">
        <v>1243</v>
      </c>
      <c r="E313" s="71" t="s">
        <v>370</v>
      </c>
      <c r="F313" s="79" t="s">
        <v>371</v>
      </c>
      <c r="G313" s="156" t="s">
        <v>522</v>
      </c>
      <c r="H313" s="98" t="s">
        <v>1773</v>
      </c>
      <c r="I313" s="67">
        <v>1848</v>
      </c>
      <c r="J313" s="71">
        <v>5310182296</v>
      </c>
      <c r="K313" s="71" t="s">
        <v>880</v>
      </c>
      <c r="L313" s="71" t="s">
        <v>878</v>
      </c>
      <c r="M313" s="71" t="s">
        <v>881</v>
      </c>
      <c r="N313" s="75" t="s">
        <v>882</v>
      </c>
      <c r="O313" s="76">
        <f>VLOOKUP(N313,Humo!C:P,4,0)</f>
        <v>3297.3</v>
      </c>
      <c r="P313" s="77">
        <f>VLOOKUP(N313,Humo!C:P,6,0)</f>
        <v>2386.8000000000002</v>
      </c>
      <c r="Q313" s="77">
        <f>VLOOKUP(N313,Humo!C:P,8,0)</f>
        <v>11623.3</v>
      </c>
      <c r="R313" s="77">
        <f>VLOOKUP(N313,Humo!C:P,10,0)</f>
        <v>11394.4</v>
      </c>
      <c r="S313" s="77">
        <f>VLOOKUP(N313,Humo!C:P,12,0)</f>
        <v>21103.9</v>
      </c>
      <c r="T313" s="77">
        <f>VLOOKUP(N313,Humo!C:P,14,0)</f>
        <v>17676.2</v>
      </c>
      <c r="U313" s="77">
        <f>IFERROR(VLOOKUP(N313,'2026 iyul humo'!A:D,4,0),"0")/1000</f>
        <v>16662.55</v>
      </c>
      <c r="V313" s="77"/>
      <c r="W313" s="77"/>
      <c r="X313" s="77"/>
      <c r="Y313" s="77"/>
      <c r="Z313" s="77"/>
      <c r="AA313" s="162">
        <f t="shared" si="8"/>
        <v>84144.450000000012</v>
      </c>
      <c r="AB313" s="162"/>
      <c r="AC313" s="162"/>
      <c r="AD313" s="71" t="s">
        <v>1527</v>
      </c>
      <c r="AE313" s="77">
        <v>62805331</v>
      </c>
    </row>
    <row r="314" spans="1:31">
      <c r="A314" s="71" t="s">
        <v>339</v>
      </c>
      <c r="B314" s="72" t="s">
        <v>1767</v>
      </c>
      <c r="C314" s="68" t="s">
        <v>20</v>
      </c>
      <c r="D314" s="73" t="s">
        <v>1243</v>
      </c>
      <c r="E314" s="71" t="s">
        <v>370</v>
      </c>
      <c r="F314" s="79" t="s">
        <v>376</v>
      </c>
      <c r="G314" s="156" t="s">
        <v>522</v>
      </c>
      <c r="H314" s="98" t="s">
        <v>1773</v>
      </c>
      <c r="I314" s="67">
        <v>1848</v>
      </c>
      <c r="J314" s="79" t="s">
        <v>930</v>
      </c>
      <c r="K314" s="71">
        <v>246600989</v>
      </c>
      <c r="L314" s="71" t="s">
        <v>878</v>
      </c>
      <c r="M314" s="71" t="s">
        <v>883</v>
      </c>
      <c r="N314" s="75" t="s">
        <v>884</v>
      </c>
      <c r="O314" s="76">
        <f>VLOOKUP(N314,Humo!C:P,4,0)</f>
        <v>24076</v>
      </c>
      <c r="P314" s="77">
        <f>VLOOKUP(N314,Humo!C:P,6,0)</f>
        <v>17309.846081984131</v>
      </c>
      <c r="Q314" s="77">
        <f>VLOOKUP(N314,Humo!C:P,8,0)</f>
        <v>21217.946112927639</v>
      </c>
      <c r="R314" s="77">
        <f>VLOOKUP(N314,Humo!C:P,10,0)</f>
        <v>21875.74614297918</v>
      </c>
      <c r="S314" s="77">
        <f>VLOOKUP(N314,Humo!C:P,12,0)</f>
        <v>16808.846173891736</v>
      </c>
      <c r="T314" s="77">
        <f>VLOOKUP(N314,Humo!C:P,14,0)</f>
        <v>16362.746203960349</v>
      </c>
      <c r="U314" s="77">
        <f>IFERROR(VLOOKUP(N314,'2026 iyul humo'!A:D,4,0),"0")/1000</f>
        <v>25980.65</v>
      </c>
      <c r="V314" s="77"/>
      <c r="W314" s="77"/>
      <c r="X314" s="77"/>
      <c r="Y314" s="77"/>
      <c r="Z314" s="77"/>
      <c r="AA314" s="162">
        <f t="shared" si="8"/>
        <v>143631.78071574302</v>
      </c>
      <c r="AB314" s="162"/>
      <c r="AC314" s="162"/>
      <c r="AD314" s="71" t="s">
        <v>1524</v>
      </c>
      <c r="AE314" s="77">
        <v>168243023</v>
      </c>
    </row>
    <row r="315" spans="1:31">
      <c r="A315" s="71" t="s">
        <v>340</v>
      </c>
      <c r="B315" s="72" t="s">
        <v>1767</v>
      </c>
      <c r="C315" s="68" t="s">
        <v>20</v>
      </c>
      <c r="D315" s="73" t="s">
        <v>1243</v>
      </c>
      <c r="E315" s="83" t="s">
        <v>364</v>
      </c>
      <c r="F315" s="84" t="s">
        <v>1162</v>
      </c>
      <c r="G315" s="156" t="s">
        <v>522</v>
      </c>
      <c r="H315" s="1" t="s">
        <v>1780</v>
      </c>
      <c r="I315" s="67">
        <v>1128.7</v>
      </c>
      <c r="J315" s="71" t="s">
        <v>1427</v>
      </c>
      <c r="K315" s="112" t="s">
        <v>1470</v>
      </c>
      <c r="L315" s="71" t="s">
        <v>878</v>
      </c>
      <c r="M315" s="71" t="s">
        <v>1428</v>
      </c>
      <c r="N315" s="75">
        <v>40040</v>
      </c>
      <c r="O315" s="76">
        <f>VLOOKUP(N315,Uzcard!C:P,4,0)</f>
        <v>0</v>
      </c>
      <c r="P315" s="76">
        <f>VLOOKUP(N315,Uzcard!C:P,6,0)</f>
        <v>0</v>
      </c>
      <c r="Q315" s="76">
        <f>VLOOKUP(N315,Uzcard!C:P,8,0)</f>
        <v>0</v>
      </c>
      <c r="R315" s="76">
        <f>VLOOKUP(N315,Uzcard!C:P,10,0)</f>
        <v>0</v>
      </c>
      <c r="S315" s="76">
        <f>VLOOKUP(N315,Uzcard!C:P,12,0)</f>
        <v>0</v>
      </c>
      <c r="T315" s="76">
        <f>VLOOKUP(N315,Uzcard!C:P,14,0)</f>
        <v>0</v>
      </c>
      <c r="U315" s="172">
        <f>IFERROR(VLOOKUP(N315,'2026 iyul uzcard'!A:D,3,0),"0")/1000</f>
        <v>5921.15</v>
      </c>
      <c r="V315" s="172"/>
      <c r="W315" s="172"/>
      <c r="X315" s="172"/>
      <c r="Y315" s="172"/>
      <c r="Z315" s="172"/>
      <c r="AA315" s="162">
        <f t="shared" si="8"/>
        <v>5921.15</v>
      </c>
      <c r="AB315" s="162"/>
      <c r="AC315" s="162"/>
      <c r="AD315" s="71" t="s">
        <v>1501</v>
      </c>
      <c r="AE315" s="77">
        <v>362504800</v>
      </c>
    </row>
    <row r="316" spans="1:31">
      <c r="A316" s="71" t="s">
        <v>341</v>
      </c>
      <c r="B316" s="72" t="s">
        <v>1767</v>
      </c>
      <c r="C316" s="68" t="s">
        <v>20</v>
      </c>
      <c r="D316" s="156" t="s">
        <v>885</v>
      </c>
      <c r="E316" s="71" t="s">
        <v>364</v>
      </c>
      <c r="F316" s="130" t="s">
        <v>475</v>
      </c>
      <c r="G316" s="156" t="s">
        <v>522</v>
      </c>
      <c r="H316" s="90" t="s">
        <v>1780</v>
      </c>
      <c r="I316" s="67">
        <v>1128.7</v>
      </c>
      <c r="J316" s="71" t="s">
        <v>886</v>
      </c>
      <c r="K316" s="71">
        <v>251100989</v>
      </c>
      <c r="L316" s="71" t="s">
        <v>887</v>
      </c>
      <c r="M316" s="71" t="s">
        <v>888</v>
      </c>
      <c r="N316" s="75">
        <v>25719</v>
      </c>
      <c r="O316" s="76">
        <f>VLOOKUP(N316,Uzcard!C:P,4,0)</f>
        <v>19093.05</v>
      </c>
      <c r="P316" s="76">
        <f>VLOOKUP(N316,Uzcard!C:P,6,0)</f>
        <v>12357.8</v>
      </c>
      <c r="Q316" s="76">
        <f>VLOOKUP(N316,Uzcard!C:P,8,0)</f>
        <v>15389.8</v>
      </c>
      <c r="R316" s="76">
        <f>VLOOKUP(N316,Uzcard!C:P,10,0)</f>
        <v>12134.6</v>
      </c>
      <c r="S316" s="76">
        <f>VLOOKUP(N316,Uzcard!C:P,12,0)</f>
        <v>14740.1</v>
      </c>
      <c r="T316" s="76">
        <f>VLOOKUP(N316,Uzcard!C:P,14,0)</f>
        <v>12739.5</v>
      </c>
      <c r="U316" s="172">
        <f>IFERROR(VLOOKUP(N316,'2026 iyul uzcard'!A:D,3,0),"0")/1000</f>
        <v>15039.85</v>
      </c>
      <c r="V316" s="172"/>
      <c r="W316" s="172"/>
      <c r="X316" s="172"/>
      <c r="Y316" s="172"/>
      <c r="Z316" s="172"/>
      <c r="AA316" s="162">
        <f t="shared" si="8"/>
        <v>101494.7</v>
      </c>
      <c r="AB316" s="162"/>
      <c r="AC316" s="162"/>
      <c r="AD316" s="71" t="s">
        <v>1531</v>
      </c>
      <c r="AE316" s="77">
        <v>144808312</v>
      </c>
    </row>
    <row r="317" spans="1:31">
      <c r="A317" s="71" t="s">
        <v>342</v>
      </c>
      <c r="B317" s="72" t="s">
        <v>1767</v>
      </c>
      <c r="C317" s="68" t="s">
        <v>20</v>
      </c>
      <c r="D317" s="156" t="s">
        <v>885</v>
      </c>
      <c r="E317" s="71" t="s">
        <v>364</v>
      </c>
      <c r="F317" s="130" t="s">
        <v>475</v>
      </c>
      <c r="G317" s="156" t="s">
        <v>522</v>
      </c>
      <c r="H317" s="90" t="s">
        <v>1780</v>
      </c>
      <c r="I317" s="67">
        <v>1128.7</v>
      </c>
      <c r="J317" s="71" t="s">
        <v>889</v>
      </c>
      <c r="K317" s="71">
        <v>223100989</v>
      </c>
      <c r="L317" s="71" t="s">
        <v>887</v>
      </c>
      <c r="M317" s="71">
        <v>901120376</v>
      </c>
      <c r="N317" s="75">
        <v>21266</v>
      </c>
      <c r="O317" s="76">
        <f>VLOOKUP(N317,Uzcard!C:P,4,0)</f>
        <v>17745.05</v>
      </c>
      <c r="P317" s="76">
        <f>VLOOKUP(N317,Uzcard!C:P,6,0)</f>
        <v>23886.25</v>
      </c>
      <c r="Q317" s="76">
        <f>VLOOKUP(N317,Uzcard!C:P,8,0)</f>
        <v>29754.85</v>
      </c>
      <c r="R317" s="76">
        <f>VLOOKUP(N317,Uzcard!C:P,10,0)</f>
        <v>33012.6</v>
      </c>
      <c r="S317" s="76">
        <f>VLOOKUP(N317,Uzcard!C:P,12,0)</f>
        <v>28880.799999999999</v>
      </c>
      <c r="T317" s="76">
        <f>VLOOKUP(N317,Uzcard!C:P,14,0)</f>
        <v>21141.45</v>
      </c>
      <c r="U317" s="172">
        <f>IFERROR(VLOOKUP(N317,'2026 iyul uzcard'!A:D,3,0),"0")/1000</f>
        <v>16272.45</v>
      </c>
      <c r="V317" s="172"/>
      <c r="W317" s="172"/>
      <c r="X317" s="172"/>
      <c r="Y317" s="172"/>
      <c r="Z317" s="172"/>
      <c r="AA317" s="162">
        <f t="shared" si="8"/>
        <v>170693.45</v>
      </c>
      <c r="AB317" s="162"/>
      <c r="AC317" s="162"/>
      <c r="AD317" s="71" t="s">
        <v>1535</v>
      </c>
      <c r="AE317" s="77">
        <v>131315497</v>
      </c>
    </row>
    <row r="318" spans="1:31">
      <c r="A318" s="71" t="s">
        <v>343</v>
      </c>
      <c r="B318" s="72" t="s">
        <v>1767</v>
      </c>
      <c r="C318" s="68" t="s">
        <v>20</v>
      </c>
      <c r="D318" s="156" t="s">
        <v>885</v>
      </c>
      <c r="E318" s="71" t="s">
        <v>370</v>
      </c>
      <c r="F318" s="79" t="s">
        <v>371</v>
      </c>
      <c r="G318" s="156" t="s">
        <v>522</v>
      </c>
      <c r="H318" s="98" t="s">
        <v>1773</v>
      </c>
      <c r="I318" s="67">
        <v>1848</v>
      </c>
      <c r="J318" s="71">
        <v>5310177600</v>
      </c>
      <c r="K318" s="71" t="s">
        <v>890</v>
      </c>
      <c r="L318" s="71" t="s">
        <v>887</v>
      </c>
      <c r="M318" s="71" t="s">
        <v>891</v>
      </c>
      <c r="N318" s="75" t="s">
        <v>892</v>
      </c>
      <c r="O318" s="76">
        <f>VLOOKUP(N318,Humo!C:P,4,0)</f>
        <v>15501.6</v>
      </c>
      <c r="P318" s="77">
        <f>VLOOKUP(N318,Humo!C:P,6,0)</f>
        <v>7344.2</v>
      </c>
      <c r="Q318" s="77">
        <f>VLOOKUP(N318,Humo!C:P,8,0)</f>
        <v>8667</v>
      </c>
      <c r="R318" s="77">
        <f>VLOOKUP(N318,Humo!C:P,10,0)</f>
        <v>4698.3</v>
      </c>
      <c r="S318" s="77">
        <f>VLOOKUP(N318,Humo!C:P,12,0)</f>
        <v>7096.8</v>
      </c>
      <c r="T318" s="77">
        <f>VLOOKUP(N318,Humo!C:P,14,0)</f>
        <v>5642.3</v>
      </c>
      <c r="U318" s="77">
        <f>IFERROR(VLOOKUP(N318,'2026 iyul humo'!A:D,4,0),"0")/1000</f>
        <v>7949.3</v>
      </c>
      <c r="V318" s="77"/>
      <c r="W318" s="77"/>
      <c r="X318" s="77"/>
      <c r="Y318" s="77"/>
      <c r="Z318" s="77"/>
      <c r="AA318" s="162">
        <f t="shared" si="8"/>
        <v>56899.500000000007</v>
      </c>
      <c r="AB318" s="162"/>
      <c r="AC318" s="162"/>
      <c r="AD318" s="71" t="s">
        <v>1527</v>
      </c>
      <c r="AE318" s="77">
        <v>62805331</v>
      </c>
    </row>
    <row r="319" spans="1:31">
      <c r="A319" s="71" t="s">
        <v>344</v>
      </c>
      <c r="B319" s="72" t="s">
        <v>1767</v>
      </c>
      <c r="C319" s="68" t="s">
        <v>20</v>
      </c>
      <c r="D319" s="156" t="s">
        <v>885</v>
      </c>
      <c r="E319" s="71" t="s">
        <v>370</v>
      </c>
      <c r="F319" s="79" t="s">
        <v>371</v>
      </c>
      <c r="G319" s="156" t="s">
        <v>522</v>
      </c>
      <c r="H319" s="98" t="s">
        <v>1773</v>
      </c>
      <c r="I319" s="67">
        <v>1848</v>
      </c>
      <c r="J319" s="71" t="s">
        <v>893</v>
      </c>
      <c r="K319" s="71" t="s">
        <v>894</v>
      </c>
      <c r="L319" s="71" t="s">
        <v>887</v>
      </c>
      <c r="M319" s="71" t="s">
        <v>895</v>
      </c>
      <c r="N319" s="75" t="s">
        <v>896</v>
      </c>
      <c r="O319" s="76">
        <f>VLOOKUP(N319,Humo!C:P,4,0)</f>
        <v>4200.1000000000004</v>
      </c>
      <c r="P319" s="77">
        <f>VLOOKUP(N319,Humo!C:P,6,0)</f>
        <v>6182.1</v>
      </c>
      <c r="Q319" s="77">
        <f>VLOOKUP(N319,Humo!C:P,8,0)</f>
        <v>8647.1</v>
      </c>
      <c r="R319" s="77">
        <f>VLOOKUP(N319,Humo!C:P,10,0)</f>
        <v>12140.8</v>
      </c>
      <c r="S319" s="77">
        <f>VLOOKUP(N319,Humo!C:P,12,0)</f>
        <v>12587</v>
      </c>
      <c r="T319" s="77">
        <f>VLOOKUP(N319,Humo!C:P,14,0)</f>
        <v>8811.5</v>
      </c>
      <c r="U319" s="77">
        <f>IFERROR(VLOOKUP(N319,'2026 iyul humo'!A:D,4,0),"0")/1000</f>
        <v>8058.75</v>
      </c>
      <c r="V319" s="77"/>
      <c r="W319" s="77"/>
      <c r="X319" s="77"/>
      <c r="Y319" s="77"/>
      <c r="Z319" s="77"/>
      <c r="AA319" s="162">
        <f t="shared" si="8"/>
        <v>60627.350000000006</v>
      </c>
      <c r="AB319" s="162"/>
      <c r="AC319" s="162"/>
      <c r="AD319" s="71" t="s">
        <v>1505</v>
      </c>
      <c r="AE319" s="77">
        <v>62805331</v>
      </c>
    </row>
    <row r="320" spans="1:31">
      <c r="A320" s="71" t="s">
        <v>345</v>
      </c>
      <c r="B320" s="72" t="s">
        <v>1767</v>
      </c>
      <c r="C320" s="68" t="s">
        <v>20</v>
      </c>
      <c r="D320" s="156" t="s">
        <v>897</v>
      </c>
      <c r="E320" s="71" t="s">
        <v>364</v>
      </c>
      <c r="F320" s="130" t="s">
        <v>474</v>
      </c>
      <c r="G320" s="156" t="s">
        <v>522</v>
      </c>
      <c r="H320" s="156"/>
      <c r="I320" s="156"/>
      <c r="J320" s="71" t="s">
        <v>898</v>
      </c>
      <c r="K320" s="71">
        <v>159300989</v>
      </c>
      <c r="L320" s="71" t="s">
        <v>899</v>
      </c>
      <c r="M320" s="71" t="s">
        <v>900</v>
      </c>
      <c r="N320" s="75">
        <v>18105</v>
      </c>
      <c r="O320" s="76">
        <f>VLOOKUP(N320,Uzcard!C:P,4,0)</f>
        <v>1851.05</v>
      </c>
      <c r="P320" s="76">
        <f>VLOOKUP(N320,Uzcard!C:P,6,0)</f>
        <v>898.7</v>
      </c>
      <c r="Q320" s="76">
        <f>VLOOKUP(N320,Uzcard!C:P,8,0)</f>
        <v>1774.25</v>
      </c>
      <c r="R320" s="76">
        <f>VLOOKUP(N320,Uzcard!C:P,10,0)</f>
        <v>1328.55</v>
      </c>
      <c r="S320" s="76">
        <f>VLOOKUP(N320,Uzcard!C:P,12,0)</f>
        <v>848.95</v>
      </c>
      <c r="T320" s="76">
        <f>VLOOKUP(N320,Uzcard!C:P,14,0)</f>
        <v>1672.4</v>
      </c>
      <c r="U320" s="172">
        <f>IFERROR(VLOOKUP(N320,'2026 iyul uzcard'!A:D,3,0),"0")/1000</f>
        <v>1593.25</v>
      </c>
      <c r="V320" s="172"/>
      <c r="W320" s="172"/>
      <c r="X320" s="172"/>
      <c r="Y320" s="172"/>
      <c r="Z320" s="172"/>
      <c r="AA320" s="162">
        <f t="shared" si="8"/>
        <v>9967.15</v>
      </c>
      <c r="AB320" s="162"/>
      <c r="AC320" s="162"/>
      <c r="AD320" s="71" t="s">
        <v>1529</v>
      </c>
      <c r="AE320" s="77">
        <v>100458192.72</v>
      </c>
    </row>
    <row r="321" spans="1:31" s="89" customFormat="1">
      <c r="A321" s="71" t="s">
        <v>346</v>
      </c>
      <c r="B321" s="72" t="s">
        <v>1767</v>
      </c>
      <c r="C321" s="69" t="s">
        <v>20</v>
      </c>
      <c r="D321" s="156" t="s">
        <v>897</v>
      </c>
      <c r="E321" s="79" t="s">
        <v>370</v>
      </c>
      <c r="F321" s="130" t="s">
        <v>475</v>
      </c>
      <c r="G321" s="130" t="s">
        <v>522</v>
      </c>
      <c r="H321" s="99" t="s">
        <v>1773</v>
      </c>
      <c r="I321" s="67">
        <v>1848</v>
      </c>
      <c r="J321" s="79" t="s">
        <v>901</v>
      </c>
      <c r="K321" s="79">
        <v>251300989</v>
      </c>
      <c r="L321" s="79" t="s">
        <v>899</v>
      </c>
      <c r="M321" s="79" t="s">
        <v>902</v>
      </c>
      <c r="N321" s="109">
        <v>15700008</v>
      </c>
      <c r="O321" s="76">
        <f>VLOOKUP(N321,Humo!C:P,4,0)</f>
        <v>4156.3999999999996</v>
      </c>
      <c r="P321" s="77">
        <f>VLOOKUP(N321,Humo!C:P,6,0)</f>
        <v>3001.2</v>
      </c>
      <c r="Q321" s="77">
        <f>VLOOKUP(N321,Humo!C:P,8,0)</f>
        <v>3454.9</v>
      </c>
      <c r="R321" s="77">
        <f>VLOOKUP(N321,Humo!C:P,10,0)</f>
        <v>3487.8</v>
      </c>
      <c r="S321" s="77">
        <f>VLOOKUP(N321,Humo!C:P,12,0)</f>
        <v>2383.1999999999998</v>
      </c>
      <c r="T321" s="77">
        <f>VLOOKUP(N321,Humo!C:P,14,0)</f>
        <v>5639.1</v>
      </c>
      <c r="U321" s="77">
        <f>IFERROR(VLOOKUP(N321,'2026 iyul humo'!A:D,4,0),"0")/1000</f>
        <v>4084.1</v>
      </c>
      <c r="V321" s="77"/>
      <c r="W321" s="77"/>
      <c r="X321" s="77"/>
      <c r="Y321" s="77"/>
      <c r="Z321" s="77"/>
      <c r="AA321" s="162">
        <f t="shared" si="8"/>
        <v>26206.699999999997</v>
      </c>
      <c r="AB321" s="162"/>
      <c r="AC321" s="162"/>
      <c r="AD321" s="79" t="s">
        <v>1531</v>
      </c>
      <c r="AE321" s="88">
        <v>105827950</v>
      </c>
    </row>
    <row r="322" spans="1:31">
      <c r="A322" s="71" t="s">
        <v>347</v>
      </c>
      <c r="B322" s="72" t="s">
        <v>1767</v>
      </c>
      <c r="C322" s="68" t="s">
        <v>20</v>
      </c>
      <c r="D322" s="156" t="s">
        <v>903</v>
      </c>
      <c r="E322" s="71" t="s">
        <v>364</v>
      </c>
      <c r="F322" s="130" t="s">
        <v>475</v>
      </c>
      <c r="G322" s="156" t="s">
        <v>522</v>
      </c>
      <c r="H322" s="98" t="s">
        <v>1773</v>
      </c>
      <c r="I322" s="67">
        <v>1848</v>
      </c>
      <c r="J322" s="157" t="s">
        <v>904</v>
      </c>
      <c r="K322" s="71" t="s">
        <v>905</v>
      </c>
      <c r="L322" s="71" t="s">
        <v>906</v>
      </c>
      <c r="M322" s="71" t="s">
        <v>907</v>
      </c>
      <c r="N322" s="75">
        <v>36031</v>
      </c>
      <c r="O322" s="76">
        <f>VLOOKUP(N322,Uzcard!C:P,4,0)</f>
        <v>184.6</v>
      </c>
      <c r="P322" s="76">
        <f>VLOOKUP(N322,Uzcard!C:P,6,0)</f>
        <v>1947.6</v>
      </c>
      <c r="Q322" s="76">
        <f>VLOOKUP(N322,Uzcard!C:P,8,0)</f>
        <v>3046.2</v>
      </c>
      <c r="R322" s="76">
        <f>VLOOKUP(N322,Uzcard!C:P,10,0)</f>
        <v>500.4</v>
      </c>
      <c r="S322" s="76">
        <f>VLOOKUP(N322,Uzcard!C:P,12,0)</f>
        <v>2924.9</v>
      </c>
      <c r="T322" s="76">
        <f>VLOOKUP(N322,Uzcard!C:P,14,0)</f>
        <v>5866.8</v>
      </c>
      <c r="U322" s="172">
        <f>IFERROR(VLOOKUP(N322,'2026 iyul uzcard'!A:D,3,0),"0")/1000</f>
        <v>6170.15</v>
      </c>
      <c r="V322" s="172"/>
      <c r="W322" s="172"/>
      <c r="X322" s="172"/>
      <c r="Y322" s="172"/>
      <c r="Z322" s="172"/>
      <c r="AA322" s="162">
        <f t="shared" si="8"/>
        <v>20640.650000000001</v>
      </c>
      <c r="AB322" s="162"/>
      <c r="AC322" s="162"/>
      <c r="AD322" s="71" t="s">
        <v>1534</v>
      </c>
      <c r="AE322" s="77">
        <v>131315497</v>
      </c>
    </row>
    <row r="323" spans="1:31">
      <c r="A323" s="71" t="s">
        <v>348</v>
      </c>
      <c r="B323" s="72" t="s">
        <v>1767</v>
      </c>
      <c r="C323" s="68" t="s">
        <v>20</v>
      </c>
      <c r="D323" s="156" t="s">
        <v>929</v>
      </c>
      <c r="E323" s="71" t="s">
        <v>364</v>
      </c>
      <c r="F323" s="130" t="s">
        <v>475</v>
      </c>
      <c r="G323" s="156" t="s">
        <v>522</v>
      </c>
      <c r="H323" s="90" t="s">
        <v>1780</v>
      </c>
      <c r="I323" s="67">
        <v>1128.7</v>
      </c>
      <c r="J323" s="71" t="s">
        <v>908</v>
      </c>
      <c r="K323" s="71" t="s">
        <v>909</v>
      </c>
      <c r="L323" s="71" t="s">
        <v>910</v>
      </c>
      <c r="M323" s="71" t="s">
        <v>911</v>
      </c>
      <c r="N323" s="75">
        <v>36442</v>
      </c>
      <c r="O323" s="76">
        <f>VLOOKUP(N323,Uzcard!C:P,4,0)</f>
        <v>1062.25</v>
      </c>
      <c r="P323" s="76">
        <f>VLOOKUP(N323,Uzcard!C:P,6,0)</f>
        <v>2330.1</v>
      </c>
      <c r="Q323" s="76">
        <f>VLOOKUP(N323,Uzcard!C:P,8,0)</f>
        <v>4879.3</v>
      </c>
      <c r="R323" s="76">
        <f>VLOOKUP(N323,Uzcard!C:P,10,0)</f>
        <v>4838.2</v>
      </c>
      <c r="S323" s="76">
        <f>VLOOKUP(N323,Uzcard!C:P,12,0)</f>
        <v>4684.7</v>
      </c>
      <c r="T323" s="76">
        <f>VLOOKUP(N323,Uzcard!C:P,14,0)</f>
        <v>3309.65</v>
      </c>
      <c r="U323" s="172">
        <f>IFERROR(VLOOKUP(N323,'2026 iyul uzcard'!A:D,3,0),"0")/1000</f>
        <v>6763.35</v>
      </c>
      <c r="V323" s="172"/>
      <c r="W323" s="172"/>
      <c r="X323" s="172"/>
      <c r="Y323" s="172"/>
      <c r="Z323" s="172"/>
      <c r="AA323" s="162">
        <f t="shared" ref="AA323:AA358" si="9">+SUM(O323:Z323)</f>
        <v>27867.550000000003</v>
      </c>
      <c r="AB323" s="162"/>
      <c r="AC323" s="162"/>
      <c r="AD323" s="71" t="s">
        <v>1533</v>
      </c>
      <c r="AE323" s="77">
        <v>144808312</v>
      </c>
    </row>
    <row r="324" spans="1:31">
      <c r="A324" s="71" t="s">
        <v>349</v>
      </c>
      <c r="B324" s="72" t="s">
        <v>1767</v>
      </c>
      <c r="C324" s="68" t="s">
        <v>20</v>
      </c>
      <c r="D324" s="156" t="s">
        <v>929</v>
      </c>
      <c r="E324" s="71" t="s">
        <v>364</v>
      </c>
      <c r="F324" s="130" t="s">
        <v>475</v>
      </c>
      <c r="G324" s="156" t="s">
        <v>522</v>
      </c>
      <c r="H324" s="90" t="s">
        <v>1780</v>
      </c>
      <c r="I324" s="67">
        <v>1128.7</v>
      </c>
      <c r="J324" s="71" t="s">
        <v>912</v>
      </c>
      <c r="K324" s="71">
        <v>251200989</v>
      </c>
      <c r="L324" s="71" t="s">
        <v>910</v>
      </c>
      <c r="M324" s="71" t="s">
        <v>913</v>
      </c>
      <c r="N324" s="75">
        <v>25718</v>
      </c>
      <c r="O324" s="76">
        <f>VLOOKUP(N324,Uzcard!C:P,4,0)</f>
        <v>3997.55</v>
      </c>
      <c r="P324" s="76">
        <f>VLOOKUP(N324,Uzcard!C:P,6,0)</f>
        <v>2577.9499999999998</v>
      </c>
      <c r="Q324" s="76">
        <f>VLOOKUP(N324,Uzcard!C:P,8,0)</f>
        <v>4990.25</v>
      </c>
      <c r="R324" s="76">
        <f>VLOOKUP(N324,Uzcard!C:P,10,0)</f>
        <v>3416.7</v>
      </c>
      <c r="S324" s="76">
        <f>VLOOKUP(N324,Uzcard!C:P,12,0)</f>
        <v>6312.95</v>
      </c>
      <c r="T324" s="76">
        <f>VLOOKUP(N324,Uzcard!C:P,14,0)</f>
        <v>7273.05</v>
      </c>
      <c r="U324" s="172">
        <f>IFERROR(VLOOKUP(N324,'2026 iyul uzcard'!A:D,3,0),"0")/1000</f>
        <v>7649.35</v>
      </c>
      <c r="V324" s="172"/>
      <c r="W324" s="172"/>
      <c r="X324" s="172"/>
      <c r="Y324" s="172"/>
      <c r="Z324" s="172"/>
      <c r="AA324" s="162">
        <f t="shared" si="9"/>
        <v>36217.800000000003</v>
      </c>
      <c r="AB324" s="162"/>
      <c r="AC324" s="162"/>
      <c r="AD324" s="71" t="s">
        <v>1531</v>
      </c>
      <c r="AE324" s="77">
        <v>144808312</v>
      </c>
    </row>
    <row r="325" spans="1:31">
      <c r="A325" s="71" t="s">
        <v>350</v>
      </c>
      <c r="B325" s="72" t="s">
        <v>1767</v>
      </c>
      <c r="C325" s="68" t="s">
        <v>20</v>
      </c>
      <c r="D325" s="91" t="s">
        <v>972</v>
      </c>
      <c r="E325" s="71" t="s">
        <v>364</v>
      </c>
      <c r="F325" s="130" t="s">
        <v>475</v>
      </c>
      <c r="G325" s="156" t="s">
        <v>522</v>
      </c>
      <c r="H325" s="90" t="s">
        <v>1780</v>
      </c>
      <c r="I325" s="67">
        <v>1128.7</v>
      </c>
      <c r="J325" s="71" t="s">
        <v>914</v>
      </c>
      <c r="K325" s="71" t="s">
        <v>915</v>
      </c>
      <c r="L325" s="71" t="s">
        <v>916</v>
      </c>
      <c r="M325" s="71">
        <v>90110034366</v>
      </c>
      <c r="N325" s="75">
        <v>36446</v>
      </c>
      <c r="O325" s="76">
        <f>VLOOKUP(N325,Uzcard!C:P,4,0)</f>
        <v>3114.9</v>
      </c>
      <c r="P325" s="76">
        <f>VLOOKUP(N325,Uzcard!C:P,6,0)</f>
        <v>4310</v>
      </c>
      <c r="Q325" s="76">
        <f>VLOOKUP(N325,Uzcard!C:P,8,0)</f>
        <v>3631.8</v>
      </c>
      <c r="R325" s="76">
        <f>VLOOKUP(N325,Uzcard!C:P,10,0)</f>
        <v>3359.7</v>
      </c>
      <c r="S325" s="76">
        <f>VLOOKUP(N325,Uzcard!C:P,12,0)</f>
        <v>6859.95</v>
      </c>
      <c r="T325" s="76">
        <f>VLOOKUP(N325,Uzcard!C:P,14,0)</f>
        <v>7497.05</v>
      </c>
      <c r="U325" s="172">
        <f>IFERROR(VLOOKUP(N325,'2026 iyul uzcard'!A:D,3,0),"0")/1000</f>
        <v>10443.35</v>
      </c>
      <c r="V325" s="172"/>
      <c r="W325" s="172"/>
      <c r="X325" s="172"/>
      <c r="Y325" s="172"/>
      <c r="Z325" s="172"/>
      <c r="AA325" s="162">
        <f t="shared" si="9"/>
        <v>39216.75</v>
      </c>
      <c r="AB325" s="162"/>
      <c r="AC325" s="162"/>
      <c r="AD325" s="71" t="s">
        <v>1532</v>
      </c>
      <c r="AE325" s="77">
        <v>131315497</v>
      </c>
    </row>
    <row r="326" spans="1:31">
      <c r="A326" s="71" t="s">
        <v>351</v>
      </c>
      <c r="B326" s="72" t="s">
        <v>1767</v>
      </c>
      <c r="C326" s="68" t="s">
        <v>20</v>
      </c>
      <c r="D326" s="91" t="s">
        <v>972</v>
      </c>
      <c r="E326" s="71" t="s">
        <v>370</v>
      </c>
      <c r="F326" s="79" t="s">
        <v>371</v>
      </c>
      <c r="G326" s="156" t="s">
        <v>522</v>
      </c>
      <c r="H326" s="98" t="s">
        <v>1773</v>
      </c>
      <c r="I326" s="67">
        <v>1848</v>
      </c>
      <c r="J326" s="71">
        <v>5310177443</v>
      </c>
      <c r="K326" s="71">
        <v>175100989</v>
      </c>
      <c r="L326" s="71" t="s">
        <v>916</v>
      </c>
      <c r="M326" s="71" t="s">
        <v>917</v>
      </c>
      <c r="N326" s="75" t="s">
        <v>918</v>
      </c>
      <c r="O326" s="76">
        <f>VLOOKUP(N326,Humo!C:P,4,0)</f>
        <v>17967.5</v>
      </c>
      <c r="P326" s="77">
        <f>VLOOKUP(N326,Humo!C:P,6,0)</f>
        <v>17337.5</v>
      </c>
      <c r="Q326" s="77">
        <f>VLOOKUP(N326,Humo!C:P,8,0)</f>
        <v>13054.2</v>
      </c>
      <c r="R326" s="77">
        <f>VLOOKUP(N326,Humo!C:P,10,0)</f>
        <v>8795.6</v>
      </c>
      <c r="S326" s="77">
        <f>VLOOKUP(N326,Humo!C:P,12,0)</f>
        <v>1730.1</v>
      </c>
      <c r="T326" s="77">
        <f>VLOOKUP(N326,Humo!C:P,14,0)</f>
        <v>2892.1</v>
      </c>
      <c r="U326" s="77">
        <f>IFERROR(VLOOKUP(N326,'2026 iyul humo'!A:D,4,0),"0")/1000</f>
        <v>2616.5</v>
      </c>
      <c r="V326" s="77"/>
      <c r="W326" s="77"/>
      <c r="X326" s="77"/>
      <c r="Y326" s="77"/>
      <c r="Z326" s="77"/>
      <c r="AA326" s="162">
        <f t="shared" si="9"/>
        <v>64393.499999999993</v>
      </c>
      <c r="AB326" s="162"/>
      <c r="AC326" s="162"/>
      <c r="AD326" s="71" t="s">
        <v>1528</v>
      </c>
      <c r="AE326" s="77">
        <v>62805331</v>
      </c>
    </row>
    <row r="327" spans="1:31">
      <c r="A327" s="71" t="s">
        <v>352</v>
      </c>
      <c r="B327" s="72" t="s">
        <v>1767</v>
      </c>
      <c r="C327" s="68" t="s">
        <v>20</v>
      </c>
      <c r="D327" s="156" t="s">
        <v>24</v>
      </c>
      <c r="E327" s="71" t="s">
        <v>364</v>
      </c>
      <c r="F327" s="130" t="s">
        <v>474</v>
      </c>
      <c r="G327" s="156" t="s">
        <v>491</v>
      </c>
      <c r="H327" s="156"/>
      <c r="I327" s="156"/>
      <c r="J327" s="71" t="s">
        <v>919</v>
      </c>
      <c r="K327" s="71">
        <v>159400989</v>
      </c>
      <c r="L327" s="71" t="s">
        <v>878</v>
      </c>
      <c r="M327" s="71">
        <v>901117298</v>
      </c>
      <c r="N327" s="75">
        <v>18106</v>
      </c>
      <c r="O327" s="76">
        <f>VLOOKUP(N327,Uzcard!C:P,4,0)</f>
        <v>2640.15</v>
      </c>
      <c r="P327" s="76">
        <f>VLOOKUP(N327,Uzcard!C:P,6,0)</f>
        <v>0</v>
      </c>
      <c r="Q327" s="76">
        <f>VLOOKUP(N327,Uzcard!C:P,8,0)</f>
        <v>0</v>
      </c>
      <c r="R327" s="76">
        <f>VLOOKUP(N327,Uzcard!C:P,10,0)</f>
        <v>0</v>
      </c>
      <c r="S327" s="76">
        <f>VLOOKUP(N327,Uzcard!C:P,12,0)</f>
        <v>0</v>
      </c>
      <c r="T327" s="76">
        <f>VLOOKUP(N327,Uzcard!C:P,14,0)</f>
        <v>0</v>
      </c>
      <c r="U327" s="172">
        <f>IFERROR(VLOOKUP(N327,'2026 iyul uzcard'!A:D,3,0),"0")/1000</f>
        <v>0</v>
      </c>
      <c r="V327" s="172"/>
      <c r="W327" s="172"/>
      <c r="X327" s="172"/>
      <c r="Y327" s="172"/>
      <c r="Z327" s="172"/>
      <c r="AA327" s="162">
        <f t="shared" si="9"/>
        <v>2640.15</v>
      </c>
      <c r="AB327" s="162"/>
      <c r="AC327" s="162"/>
      <c r="AD327" s="71" t="s">
        <v>1529</v>
      </c>
      <c r="AE327" s="77">
        <v>100458192.72</v>
      </c>
    </row>
    <row r="328" spans="1:31">
      <c r="A328" s="71" t="s">
        <v>353</v>
      </c>
      <c r="B328" s="72" t="s">
        <v>1767</v>
      </c>
      <c r="C328" s="68" t="s">
        <v>20</v>
      </c>
      <c r="D328" s="156" t="s">
        <v>24</v>
      </c>
      <c r="E328" s="71" t="s">
        <v>364</v>
      </c>
      <c r="F328" s="84" t="s">
        <v>474</v>
      </c>
      <c r="G328" s="156" t="s">
        <v>491</v>
      </c>
      <c r="H328" s="156"/>
      <c r="I328" s="156"/>
      <c r="J328" s="71" t="s">
        <v>920</v>
      </c>
      <c r="K328" s="71">
        <v>219100989</v>
      </c>
      <c r="L328" s="71" t="s">
        <v>878</v>
      </c>
      <c r="M328" s="71" t="s">
        <v>921</v>
      </c>
      <c r="N328" s="75">
        <v>18893</v>
      </c>
      <c r="O328" s="76">
        <f>VLOOKUP(N328,Uzcard!C:P,4,0)</f>
        <v>0</v>
      </c>
      <c r="P328" s="76">
        <f>VLOOKUP(N328,Uzcard!C:P,6,0)</f>
        <v>0</v>
      </c>
      <c r="Q328" s="76">
        <f>VLOOKUP(N328,Uzcard!C:P,8,0)</f>
        <v>0</v>
      </c>
      <c r="R328" s="76">
        <f>VLOOKUP(N328,Uzcard!C:P,10,0)</f>
        <v>0</v>
      </c>
      <c r="S328" s="76">
        <f>VLOOKUP(N328,Uzcard!C:P,12,0)</f>
        <v>0</v>
      </c>
      <c r="T328" s="76">
        <f>VLOOKUP(N328,Uzcard!C:P,14,0)</f>
        <v>0</v>
      </c>
      <c r="U328" s="172">
        <f>IFERROR(VLOOKUP(N328,'2026 iyul uzcard'!A:D,3,0),"0")/1000</f>
        <v>0</v>
      </c>
      <c r="V328" s="172"/>
      <c r="W328" s="172"/>
      <c r="X328" s="172"/>
      <c r="Y328" s="172"/>
      <c r="Z328" s="172"/>
      <c r="AA328" s="162">
        <f t="shared" si="9"/>
        <v>0</v>
      </c>
      <c r="AB328" s="162"/>
      <c r="AC328" s="162"/>
      <c r="AD328" s="71" t="s">
        <v>1530</v>
      </c>
      <c r="AE328" s="77">
        <v>100458192.72</v>
      </c>
    </row>
    <row r="329" spans="1:31">
      <c r="A329" s="71" t="s">
        <v>354</v>
      </c>
      <c r="B329" s="72" t="s">
        <v>1767</v>
      </c>
      <c r="C329" s="68" t="s">
        <v>20</v>
      </c>
      <c r="D329" s="156" t="s">
        <v>24</v>
      </c>
      <c r="E329" s="71" t="s">
        <v>370</v>
      </c>
      <c r="F329" s="79" t="s">
        <v>371</v>
      </c>
      <c r="G329" s="156" t="s">
        <v>491</v>
      </c>
      <c r="H329" s="156"/>
      <c r="I329" s="156"/>
      <c r="J329" s="158" t="s">
        <v>1653</v>
      </c>
      <c r="K329" s="71">
        <v>251400989</v>
      </c>
      <c r="L329" s="71" t="s">
        <v>878</v>
      </c>
      <c r="M329" s="71" t="s">
        <v>922</v>
      </c>
      <c r="N329" s="75" t="s">
        <v>923</v>
      </c>
      <c r="O329" s="76">
        <f>VLOOKUP(N329,Humo!C:P,4,0)</f>
        <v>0</v>
      </c>
      <c r="P329" s="77">
        <f>VLOOKUP(N329,Humo!C:P,6,0)</f>
        <v>0</v>
      </c>
      <c r="Q329" s="77">
        <f>VLOOKUP(N329,Humo!C:P,8,0)</f>
        <v>0</v>
      </c>
      <c r="R329" s="77">
        <f>VLOOKUP(N329,Humo!C:P,10,0)</f>
        <v>0</v>
      </c>
      <c r="S329" s="77">
        <f>VLOOKUP(N329,Humo!C:P,12,0)</f>
        <v>0</v>
      </c>
      <c r="T329" s="77">
        <f>VLOOKUP(N329,Humo!C:P,14,0)</f>
        <v>0</v>
      </c>
      <c r="U329" s="77">
        <f>IFERROR(VLOOKUP(N329,'2026 iyul humo'!A:D,4,0),"0")/1000</f>
        <v>0</v>
      </c>
      <c r="V329" s="77"/>
      <c r="W329" s="77"/>
      <c r="X329" s="77"/>
      <c r="Y329" s="77"/>
      <c r="Z329" s="77"/>
      <c r="AA329" s="162">
        <f t="shared" si="9"/>
        <v>0</v>
      </c>
      <c r="AB329" s="162"/>
      <c r="AC329" s="162"/>
      <c r="AD329" s="71" t="s">
        <v>1505</v>
      </c>
      <c r="AE329" s="77">
        <v>62805331</v>
      </c>
    </row>
    <row r="330" spans="1:31">
      <c r="A330" s="71" t="s">
        <v>355</v>
      </c>
      <c r="B330" s="72" t="s">
        <v>1767</v>
      </c>
      <c r="C330" s="68" t="s">
        <v>20</v>
      </c>
      <c r="D330" s="156" t="s">
        <v>24</v>
      </c>
      <c r="E330" s="91" t="s">
        <v>381</v>
      </c>
      <c r="F330" s="93" t="s">
        <v>382</v>
      </c>
      <c r="G330" s="94" t="s">
        <v>491</v>
      </c>
      <c r="H330" s="94"/>
      <c r="I330" s="94"/>
      <c r="J330" s="71" t="s">
        <v>924</v>
      </c>
      <c r="K330" s="71">
        <v>153500989</v>
      </c>
      <c r="L330" s="71" t="s">
        <v>878</v>
      </c>
      <c r="M330" s="71" t="s">
        <v>925</v>
      </c>
      <c r="N330" s="75" t="s">
        <v>925</v>
      </c>
      <c r="O330" s="76">
        <f>IFERROR(VLOOKUP(N330,'2026 yanvar vash'!A:D,4,0),"0")/1000</f>
        <v>0</v>
      </c>
      <c r="P330" s="173">
        <f>IFERROR(VLOOKUP(N330,'2026 fevral vash'!A:D,4,0),"0")/1000</f>
        <v>0</v>
      </c>
      <c r="Q330" s="173">
        <f>IFERROR(VLOOKUP(N330,'2026 mart vash'!A:D,4,0),"0")/1000</f>
        <v>0</v>
      </c>
      <c r="R330" s="173">
        <f>IFERROR(VLOOKUP(N330,'2026 aprel vash'!A:D,4,0),"0")/1000</f>
        <v>0</v>
      </c>
      <c r="S330" s="173">
        <f>IFERROR(VLOOKUP(N330,'2026 may vash'!A:D,4,0),"0")/1000</f>
        <v>0</v>
      </c>
      <c r="T330" s="173">
        <f>IFERROR(VLOOKUP(N330,'2026 iyun vash'!A:D,4,0),"0")/1000</f>
        <v>0</v>
      </c>
      <c r="U330" s="173">
        <f>IFERROR(VLOOKUP(N330,'2026 iyul vash'!A:D,4,0),"0")/1000</f>
        <v>0</v>
      </c>
      <c r="V330" s="173"/>
      <c r="W330" s="173"/>
      <c r="X330" s="173"/>
      <c r="Y330" s="173"/>
      <c r="Z330" s="173"/>
      <c r="AA330" s="162">
        <f t="shared" si="9"/>
        <v>0</v>
      </c>
      <c r="AB330" s="162"/>
      <c r="AC330" s="162"/>
      <c r="AD330" s="71" t="s">
        <v>1525</v>
      </c>
      <c r="AE330" s="77">
        <v>171904842.81999999</v>
      </c>
    </row>
    <row r="331" spans="1:31">
      <c r="A331" s="71" t="s">
        <v>356</v>
      </c>
      <c r="B331" s="72" t="s">
        <v>1767</v>
      </c>
      <c r="C331" s="68" t="s">
        <v>20</v>
      </c>
      <c r="D331" s="156" t="s">
        <v>24</v>
      </c>
      <c r="E331" s="91" t="s">
        <v>381</v>
      </c>
      <c r="F331" s="93" t="s">
        <v>382</v>
      </c>
      <c r="G331" s="94" t="s">
        <v>491</v>
      </c>
      <c r="H331" s="94"/>
      <c r="I331" s="94"/>
      <c r="J331" s="71" t="s">
        <v>926</v>
      </c>
      <c r="K331" s="71" t="s">
        <v>927</v>
      </c>
      <c r="L331" s="71" t="s">
        <v>878</v>
      </c>
      <c r="M331" s="71" t="s">
        <v>928</v>
      </c>
      <c r="N331" s="75" t="s">
        <v>928</v>
      </c>
      <c r="O331" s="76">
        <f>IFERROR(VLOOKUP(N331,'2026 yanvar vash'!A:D,4,0),"0")/1000</f>
        <v>0</v>
      </c>
      <c r="P331" s="173">
        <f>IFERROR(VLOOKUP(N331,'2026 fevral vash'!A:D,4,0),"0")/1000</f>
        <v>0</v>
      </c>
      <c r="Q331" s="173">
        <f>IFERROR(VLOOKUP(N331,'2026 mart vash'!A:D,4,0),"0")/1000</f>
        <v>0</v>
      </c>
      <c r="R331" s="173">
        <f>IFERROR(VLOOKUP(N331,'2026 aprel vash'!A:D,4,0),"0")/1000</f>
        <v>0</v>
      </c>
      <c r="S331" s="173">
        <f>IFERROR(VLOOKUP(N331,'2026 may vash'!A:D,4,0),"0")/1000</f>
        <v>0</v>
      </c>
      <c r="T331" s="173">
        <f>IFERROR(VLOOKUP(N331,'2026 iyun vash'!A:D,4,0),"0")/1000</f>
        <v>0</v>
      </c>
      <c r="U331" s="173">
        <f>IFERROR(VLOOKUP(N331,'2026 iyul vash'!A:D,4,0),"0")/1000</f>
        <v>0</v>
      </c>
      <c r="V331" s="173"/>
      <c r="W331" s="173"/>
      <c r="X331" s="173"/>
      <c r="Y331" s="173"/>
      <c r="Z331" s="173"/>
      <c r="AA331" s="162">
        <f t="shared" si="9"/>
        <v>0</v>
      </c>
      <c r="AB331" s="162"/>
      <c r="AC331" s="162"/>
      <c r="AD331" s="71" t="s">
        <v>1526</v>
      </c>
      <c r="AE331" s="77">
        <v>216557286.44999999</v>
      </c>
    </row>
    <row r="332" spans="1:31">
      <c r="A332" s="71" t="s">
        <v>357</v>
      </c>
      <c r="B332" s="72" t="s">
        <v>1768</v>
      </c>
      <c r="C332" s="68" t="s">
        <v>21</v>
      </c>
      <c r="D332" s="73" t="s">
        <v>1243</v>
      </c>
      <c r="E332" s="128" t="s">
        <v>370</v>
      </c>
      <c r="F332" s="131" t="s">
        <v>371</v>
      </c>
      <c r="G332" s="128" t="s">
        <v>522</v>
      </c>
      <c r="H332" s="98" t="s">
        <v>1773</v>
      </c>
      <c r="I332" s="67">
        <v>1848</v>
      </c>
      <c r="J332" s="71">
        <v>5310177622</v>
      </c>
      <c r="K332" s="71" t="s">
        <v>818</v>
      </c>
      <c r="L332" s="71" t="s">
        <v>806</v>
      </c>
      <c r="M332" s="71" t="s">
        <v>819</v>
      </c>
      <c r="N332" s="109" t="s">
        <v>820</v>
      </c>
      <c r="O332" s="76">
        <f>VLOOKUP(N332,Humo!C:P,4,0)</f>
        <v>0</v>
      </c>
      <c r="P332" s="77">
        <f>VLOOKUP(N332,Humo!C:P,6,0)</f>
        <v>8069.7</v>
      </c>
      <c r="Q332" s="77">
        <f>VLOOKUP(N332,Humo!C:P,8,0)</f>
        <v>9379.2999999999993</v>
      </c>
      <c r="R332" s="77">
        <f>VLOOKUP(N332,Humo!C:P,10,0)</f>
        <v>15850.45</v>
      </c>
      <c r="S332" s="77">
        <f>VLOOKUP(N332,Humo!C:P,12,0)</f>
        <v>11140.55</v>
      </c>
      <c r="T332" s="77">
        <f>VLOOKUP(N332,Humo!C:P,14,0)</f>
        <v>12893.7</v>
      </c>
      <c r="U332" s="77">
        <f>IFERROR(VLOOKUP(N332,'2026 iyul humo'!A:D,4,0),"0")/1000</f>
        <v>16848.400000000001</v>
      </c>
      <c r="V332" s="77"/>
      <c r="W332" s="77"/>
      <c r="X332" s="77"/>
      <c r="Y332" s="77"/>
      <c r="Z332" s="77"/>
      <c r="AA332" s="162">
        <f t="shared" si="9"/>
        <v>74182.100000000006</v>
      </c>
      <c r="AB332" s="162"/>
      <c r="AC332" s="162"/>
      <c r="AD332" s="71" t="s">
        <v>1505</v>
      </c>
      <c r="AE332" s="77">
        <v>62805331</v>
      </c>
    </row>
    <row r="333" spans="1:31">
      <c r="A333" s="71" t="s">
        <v>358</v>
      </c>
      <c r="B333" s="72" t="s">
        <v>1768</v>
      </c>
      <c r="C333" s="68" t="s">
        <v>21</v>
      </c>
      <c r="D333" s="73" t="s">
        <v>1243</v>
      </c>
      <c r="E333" s="128" t="s">
        <v>370</v>
      </c>
      <c r="F333" s="131" t="s">
        <v>376</v>
      </c>
      <c r="G333" s="128" t="s">
        <v>522</v>
      </c>
      <c r="H333" s="98" t="s">
        <v>1773</v>
      </c>
      <c r="I333" s="67">
        <v>1848</v>
      </c>
      <c r="J333" s="79">
        <v>1108457407</v>
      </c>
      <c r="K333" s="71" t="s">
        <v>829</v>
      </c>
      <c r="L333" s="71" t="s">
        <v>806</v>
      </c>
      <c r="M333" s="71" t="s">
        <v>830</v>
      </c>
      <c r="N333" s="109" t="s">
        <v>831</v>
      </c>
      <c r="O333" s="76">
        <f>VLOOKUP(N333,Humo!C:P,4,0)</f>
        <v>7041.7</v>
      </c>
      <c r="P333" s="77">
        <f>VLOOKUP(N333,Humo!C:P,6,0)</f>
        <v>3395.1</v>
      </c>
      <c r="Q333" s="77">
        <f>VLOOKUP(N333,Humo!C:P,8,0)</f>
        <v>4260.6000000000004</v>
      </c>
      <c r="R333" s="77">
        <f>VLOOKUP(N333,Humo!C:P,10,0)</f>
        <v>2084.9</v>
      </c>
      <c r="S333" s="77">
        <f>VLOOKUP(N333,Humo!C:P,12,0)</f>
        <v>3691.3</v>
      </c>
      <c r="T333" s="77">
        <f>VLOOKUP(N333,Humo!C:P,14,0)</f>
        <v>4156.6000000000004</v>
      </c>
      <c r="U333" s="77">
        <f>IFERROR(VLOOKUP(N333,'2026 iyul humo'!A:D,4,0),"0")/1000</f>
        <v>5507.7</v>
      </c>
      <c r="V333" s="77"/>
      <c r="W333" s="77"/>
      <c r="X333" s="77"/>
      <c r="Y333" s="77"/>
      <c r="Z333" s="77"/>
      <c r="AA333" s="162">
        <f t="shared" si="9"/>
        <v>30137.899999999998</v>
      </c>
      <c r="AB333" s="162"/>
      <c r="AC333" s="162"/>
      <c r="AD333" s="71" t="s">
        <v>1636</v>
      </c>
      <c r="AE333" s="77">
        <v>168243023</v>
      </c>
    </row>
    <row r="334" spans="1:31">
      <c r="A334" s="71" t="s">
        <v>359</v>
      </c>
      <c r="B334" s="72" t="s">
        <v>1768</v>
      </c>
      <c r="C334" s="68" t="s">
        <v>21</v>
      </c>
      <c r="D334" s="73" t="s">
        <v>1243</v>
      </c>
      <c r="E334" s="128" t="s">
        <v>381</v>
      </c>
      <c r="F334" s="93" t="s">
        <v>382</v>
      </c>
      <c r="G334" s="94" t="s">
        <v>491</v>
      </c>
      <c r="H334" s="156"/>
      <c r="I334" s="156"/>
      <c r="J334" s="79">
        <v>2918258</v>
      </c>
      <c r="K334" s="71" t="s">
        <v>832</v>
      </c>
      <c r="L334" s="71" t="s">
        <v>806</v>
      </c>
      <c r="M334" s="71" t="s">
        <v>833</v>
      </c>
      <c r="N334" s="109" t="s">
        <v>833</v>
      </c>
      <c r="O334" s="76">
        <f>IFERROR(VLOOKUP(N334,'2026 yanvar vash'!A:D,4,0),"0")/1000</f>
        <v>23</v>
      </c>
      <c r="P334" s="173">
        <f>IFERROR(VLOOKUP(N334,'2026 fevral vash'!A:D,4,0),"0")/1000</f>
        <v>0</v>
      </c>
      <c r="Q334" s="173">
        <f>IFERROR(VLOOKUP(N334,'2026 mart vash'!A:D,4,0),"0")/1000</f>
        <v>214.2</v>
      </c>
      <c r="R334" s="173">
        <f>IFERROR(VLOOKUP(N334,'2026 aprel vash'!A:D,4,0),"0")/1000</f>
        <v>1</v>
      </c>
      <c r="S334" s="173">
        <f>IFERROR(VLOOKUP(N334,'2026 may vash'!A:D,4,0),"0")/1000</f>
        <v>0</v>
      </c>
      <c r="T334" s="173">
        <f>IFERROR(VLOOKUP(N334,'2026 iyun vash'!A:D,4,0),"0")/1000</f>
        <v>76.5</v>
      </c>
      <c r="U334" s="173">
        <f>IFERROR(VLOOKUP(N334,'2026 iyul vash'!A:D,4,0),"0")/1000</f>
        <v>5</v>
      </c>
      <c r="V334" s="173"/>
      <c r="W334" s="173"/>
      <c r="X334" s="173"/>
      <c r="Y334" s="173"/>
      <c r="Z334" s="173"/>
      <c r="AA334" s="162">
        <f t="shared" si="9"/>
        <v>319.7</v>
      </c>
      <c r="AB334" s="162"/>
      <c r="AC334" s="162"/>
      <c r="AD334" s="71" t="s">
        <v>1637</v>
      </c>
      <c r="AE334" s="77">
        <v>171904842.81999999</v>
      </c>
    </row>
    <row r="335" spans="1:31">
      <c r="A335" s="71" t="s">
        <v>360</v>
      </c>
      <c r="B335" s="72" t="s">
        <v>1768</v>
      </c>
      <c r="C335" s="68" t="s">
        <v>21</v>
      </c>
      <c r="D335" s="73" t="s">
        <v>1243</v>
      </c>
      <c r="E335" s="83" t="s">
        <v>364</v>
      </c>
      <c r="F335" s="84" t="s">
        <v>1162</v>
      </c>
      <c r="G335" s="128" t="s">
        <v>522</v>
      </c>
      <c r="H335" s="1" t="s">
        <v>1780</v>
      </c>
      <c r="I335" s="67">
        <v>1128.7</v>
      </c>
      <c r="J335" s="79" t="s">
        <v>1429</v>
      </c>
      <c r="K335" s="71" t="s">
        <v>1430</v>
      </c>
      <c r="L335" s="71" t="s">
        <v>1431</v>
      </c>
      <c r="M335" s="71" t="s">
        <v>1432</v>
      </c>
      <c r="N335" s="109">
        <v>39957</v>
      </c>
      <c r="O335" s="76">
        <f>VLOOKUP(N335,Uzcard!C:P,4,0)</f>
        <v>0</v>
      </c>
      <c r="P335" s="76">
        <f>VLOOKUP(N335,Uzcard!C:P,6,0)</f>
        <v>0</v>
      </c>
      <c r="Q335" s="76">
        <f>VLOOKUP(N335,Uzcard!C:P,8,0)</f>
        <v>0</v>
      </c>
      <c r="R335" s="76">
        <f>VLOOKUP(N335,Uzcard!C:P,10,0)</f>
        <v>0</v>
      </c>
      <c r="S335" s="76">
        <f>VLOOKUP(N335,Uzcard!C:P,12,0)</f>
        <v>0</v>
      </c>
      <c r="T335" s="76">
        <f>VLOOKUP(N335,Uzcard!C:P,14,0)</f>
        <v>0</v>
      </c>
      <c r="U335" s="172">
        <f>IFERROR(VLOOKUP(N335,'2026 iyul uzcard'!A:D,3,0),"0")/1000</f>
        <v>7513.35</v>
      </c>
      <c r="V335" s="172"/>
      <c r="W335" s="172"/>
      <c r="X335" s="172"/>
      <c r="Y335" s="172"/>
      <c r="Z335" s="172"/>
      <c r="AA335" s="162">
        <f t="shared" si="9"/>
        <v>7513.35</v>
      </c>
      <c r="AB335" s="162"/>
      <c r="AC335" s="162"/>
      <c r="AD335" s="71" t="s">
        <v>1501</v>
      </c>
      <c r="AE335" s="77">
        <v>362504800</v>
      </c>
    </row>
    <row r="336" spans="1:31">
      <c r="A336" s="71" t="s">
        <v>361</v>
      </c>
      <c r="B336" s="72" t="s">
        <v>1768</v>
      </c>
      <c r="C336" s="68" t="s">
        <v>21</v>
      </c>
      <c r="D336" s="128" t="s">
        <v>797</v>
      </c>
      <c r="E336" s="128" t="s">
        <v>364</v>
      </c>
      <c r="F336" s="153" t="s">
        <v>474</v>
      </c>
      <c r="G336" s="128" t="s">
        <v>522</v>
      </c>
      <c r="H336" s="128"/>
      <c r="I336" s="128"/>
      <c r="J336" s="71" t="s">
        <v>836</v>
      </c>
      <c r="K336" s="71" t="s">
        <v>837</v>
      </c>
      <c r="L336" s="71" t="s">
        <v>838</v>
      </c>
      <c r="M336" s="71" t="s">
        <v>839</v>
      </c>
      <c r="N336" s="75">
        <v>18375</v>
      </c>
      <c r="O336" s="76">
        <f>VLOOKUP(N336,Uzcard!C:P,4,0)</f>
        <v>3737.75</v>
      </c>
      <c r="P336" s="76">
        <f>VLOOKUP(N336,Uzcard!C:P,6,0)</f>
        <v>2983.75</v>
      </c>
      <c r="Q336" s="76">
        <f>VLOOKUP(N336,Uzcard!C:P,8,0)</f>
        <v>5622</v>
      </c>
      <c r="R336" s="76">
        <f>VLOOKUP(N336,Uzcard!C:P,10,0)</f>
        <v>8860.75</v>
      </c>
      <c r="S336" s="76">
        <f>VLOOKUP(N336,Uzcard!C:P,12,0)</f>
        <v>3568.75</v>
      </c>
      <c r="T336" s="76">
        <f>VLOOKUP(N336,Uzcard!C:P,14,0)</f>
        <v>6855.25</v>
      </c>
      <c r="U336" s="172">
        <f>IFERROR(VLOOKUP(N336,'2026 iyul uzcard'!A:D,3,0),"0")/1000</f>
        <v>6560.75</v>
      </c>
      <c r="V336" s="172"/>
      <c r="W336" s="172"/>
      <c r="X336" s="172"/>
      <c r="Y336" s="172"/>
      <c r="Z336" s="172"/>
      <c r="AA336" s="162">
        <f t="shared" si="9"/>
        <v>38189</v>
      </c>
      <c r="AB336" s="162"/>
      <c r="AC336" s="162"/>
      <c r="AD336" s="71" t="s">
        <v>1644</v>
      </c>
      <c r="AE336" s="77">
        <v>108319139.8</v>
      </c>
    </row>
    <row r="337" spans="1:31">
      <c r="A337" s="71" t="s">
        <v>362</v>
      </c>
      <c r="B337" s="72" t="s">
        <v>1768</v>
      </c>
      <c r="C337" s="68" t="s">
        <v>21</v>
      </c>
      <c r="D337" s="128" t="s">
        <v>797</v>
      </c>
      <c r="E337" s="128" t="s">
        <v>364</v>
      </c>
      <c r="F337" s="153" t="s">
        <v>475</v>
      </c>
      <c r="G337" s="128" t="s">
        <v>522</v>
      </c>
      <c r="H337" s="128"/>
      <c r="I337" s="128"/>
      <c r="J337" s="71" t="s">
        <v>840</v>
      </c>
      <c r="K337" s="71" t="s">
        <v>841</v>
      </c>
      <c r="L337" s="71" t="s">
        <v>838</v>
      </c>
      <c r="M337" s="71" t="s">
        <v>842</v>
      </c>
      <c r="N337" s="75">
        <v>21267</v>
      </c>
      <c r="O337" s="76">
        <f>VLOOKUP(N337,Uzcard!C:P,4,0)</f>
        <v>17389.75</v>
      </c>
      <c r="P337" s="76">
        <f>VLOOKUP(N337,Uzcard!C:P,6,0)</f>
        <v>16517.599999999999</v>
      </c>
      <c r="Q337" s="76">
        <f>VLOOKUP(N337,Uzcard!C:P,8,0)</f>
        <v>29171.4</v>
      </c>
      <c r="R337" s="76">
        <f>VLOOKUP(N337,Uzcard!C:P,10,0)</f>
        <v>32206.55</v>
      </c>
      <c r="S337" s="76">
        <f>VLOOKUP(N337,Uzcard!C:P,12,0)</f>
        <v>20073.7</v>
      </c>
      <c r="T337" s="76">
        <f>VLOOKUP(N337,Uzcard!C:P,14,0)</f>
        <v>31977.599999999999</v>
      </c>
      <c r="U337" s="172">
        <f>IFERROR(VLOOKUP(N337,'2026 iyul uzcard'!A:D,3,0),"0")/1000</f>
        <v>17938</v>
      </c>
      <c r="V337" s="172"/>
      <c r="W337" s="172"/>
      <c r="X337" s="172"/>
      <c r="Y337" s="172"/>
      <c r="Z337" s="172"/>
      <c r="AA337" s="162">
        <f t="shared" si="9"/>
        <v>165274.6</v>
      </c>
      <c r="AB337" s="162"/>
      <c r="AC337" s="162"/>
      <c r="AD337" s="71" t="s">
        <v>1534</v>
      </c>
      <c r="AE337" s="77">
        <v>131315497</v>
      </c>
    </row>
    <row r="338" spans="1:31" s="89" customFormat="1">
      <c r="A338" s="71" t="s">
        <v>363</v>
      </c>
      <c r="B338" s="72" t="s">
        <v>1768</v>
      </c>
      <c r="C338" s="69" t="s">
        <v>21</v>
      </c>
      <c r="D338" s="128" t="s">
        <v>797</v>
      </c>
      <c r="E338" s="131" t="s">
        <v>370</v>
      </c>
      <c r="F338" s="153" t="s">
        <v>475</v>
      </c>
      <c r="G338" s="131" t="s">
        <v>522</v>
      </c>
      <c r="H338" s="99" t="s">
        <v>1773</v>
      </c>
      <c r="I338" s="67">
        <v>1848</v>
      </c>
      <c r="J338" s="79" t="s">
        <v>843</v>
      </c>
      <c r="K338" s="79" t="s">
        <v>844</v>
      </c>
      <c r="L338" s="79" t="s">
        <v>838</v>
      </c>
      <c r="M338" s="79" t="s">
        <v>845</v>
      </c>
      <c r="N338" s="109" t="s">
        <v>846</v>
      </c>
      <c r="O338" s="76">
        <f>VLOOKUP(N338,Humo!C:P,4,0)</f>
        <v>12963.1</v>
      </c>
      <c r="P338" s="77">
        <f>VLOOKUP(N338,Humo!C:P,6,0)</f>
        <v>8763</v>
      </c>
      <c r="Q338" s="77">
        <f>VLOOKUP(N338,Humo!C:P,8,0)</f>
        <v>20098.8</v>
      </c>
      <c r="R338" s="77">
        <f>VLOOKUP(N338,Humo!C:P,10,0)</f>
        <v>18470.900000000001</v>
      </c>
      <c r="S338" s="77">
        <f>VLOOKUP(N338,Humo!C:P,12,0)</f>
        <v>14512.5</v>
      </c>
      <c r="T338" s="77">
        <f>VLOOKUP(N338,Humo!C:P,14,0)</f>
        <v>19610</v>
      </c>
      <c r="U338" s="77">
        <f>IFERROR(VLOOKUP(N338,'2026 iyul humo'!A:D,4,0),"0")/1000</f>
        <v>18397.2</v>
      </c>
      <c r="V338" s="77"/>
      <c r="W338" s="77"/>
      <c r="X338" s="77"/>
      <c r="Y338" s="77"/>
      <c r="Z338" s="77"/>
      <c r="AA338" s="162">
        <f t="shared" si="9"/>
        <v>112815.49999999999</v>
      </c>
      <c r="AB338" s="162"/>
      <c r="AC338" s="162"/>
      <c r="AD338" s="79" t="s">
        <v>1641</v>
      </c>
      <c r="AE338" s="88">
        <v>105827950</v>
      </c>
    </row>
    <row r="339" spans="1:31" s="89" customFormat="1">
      <c r="A339" s="71" t="s">
        <v>1336</v>
      </c>
      <c r="B339" s="72" t="s">
        <v>1768</v>
      </c>
      <c r="C339" s="69" t="s">
        <v>21</v>
      </c>
      <c r="D339" s="128" t="s">
        <v>797</v>
      </c>
      <c r="E339" s="131" t="s">
        <v>370</v>
      </c>
      <c r="F339" s="153" t="s">
        <v>475</v>
      </c>
      <c r="G339" s="131" t="s">
        <v>522</v>
      </c>
      <c r="H339" s="99" t="s">
        <v>1773</v>
      </c>
      <c r="I339" s="67">
        <v>1848</v>
      </c>
      <c r="J339" s="79" t="s">
        <v>847</v>
      </c>
      <c r="K339" s="79" t="s">
        <v>848</v>
      </c>
      <c r="L339" s="79" t="s">
        <v>838</v>
      </c>
      <c r="M339" s="79" t="s">
        <v>849</v>
      </c>
      <c r="N339" s="109" t="s">
        <v>850</v>
      </c>
      <c r="O339" s="76">
        <f>VLOOKUP(N339,Humo!C:P,4,0)</f>
        <v>18289.2</v>
      </c>
      <c r="P339" s="77">
        <f>VLOOKUP(N339,Humo!C:P,6,0)</f>
        <v>12055.7</v>
      </c>
      <c r="Q339" s="77">
        <f>VLOOKUP(N339,Humo!C:P,8,0)</f>
        <v>23611.599999999999</v>
      </c>
      <c r="R339" s="77">
        <f>VLOOKUP(N339,Humo!C:P,10,0)</f>
        <v>29369.200000000001</v>
      </c>
      <c r="S339" s="77">
        <f>VLOOKUP(N339,Humo!C:P,12,0)</f>
        <v>19688.7</v>
      </c>
      <c r="T339" s="77">
        <f>VLOOKUP(N339,Humo!C:P,14,0)</f>
        <v>26654</v>
      </c>
      <c r="U339" s="77">
        <f>IFERROR(VLOOKUP(N339,'2026 iyul humo'!A:D,4,0),"0")/1000</f>
        <v>30753</v>
      </c>
      <c r="V339" s="77"/>
      <c r="W339" s="77"/>
      <c r="X339" s="77"/>
      <c r="Y339" s="77"/>
      <c r="Z339" s="77"/>
      <c r="AA339" s="162">
        <f t="shared" si="9"/>
        <v>160421.4</v>
      </c>
      <c r="AB339" s="162"/>
      <c r="AC339" s="162"/>
      <c r="AD339" s="79" t="s">
        <v>1641</v>
      </c>
      <c r="AE339" s="88">
        <v>105827950</v>
      </c>
    </row>
    <row r="340" spans="1:31" s="89" customFormat="1">
      <c r="A340" s="71" t="s">
        <v>1337</v>
      </c>
      <c r="B340" s="72" t="s">
        <v>1768</v>
      </c>
      <c r="C340" s="69" t="s">
        <v>21</v>
      </c>
      <c r="D340" s="166" t="s">
        <v>2114</v>
      </c>
      <c r="E340" s="128" t="s">
        <v>364</v>
      </c>
      <c r="F340" s="153" t="s">
        <v>474</v>
      </c>
      <c r="G340" s="128" t="s">
        <v>522</v>
      </c>
      <c r="H340" s="128"/>
      <c r="I340" s="128"/>
      <c r="J340" s="71" t="s">
        <v>800</v>
      </c>
      <c r="K340" s="71" t="s">
        <v>801</v>
      </c>
      <c r="L340" s="71" t="s">
        <v>802</v>
      </c>
      <c r="M340" s="71" t="s">
        <v>803</v>
      </c>
      <c r="N340" s="75">
        <v>15039</v>
      </c>
      <c r="O340" s="76">
        <f>VLOOKUP(N340,Uzcard!C:P,4,0)</f>
        <v>6059.25</v>
      </c>
      <c r="P340" s="76">
        <f>VLOOKUP(N340,Uzcard!C:P,6,0)</f>
        <v>3325.75</v>
      </c>
      <c r="Q340" s="76">
        <f>VLOOKUP(N340,Uzcard!C:P,8,0)</f>
        <v>5945.5</v>
      </c>
      <c r="R340" s="76">
        <f>VLOOKUP(N340,Uzcard!C:P,10,0)</f>
        <v>4829</v>
      </c>
      <c r="S340" s="76">
        <f>VLOOKUP(N340,Uzcard!C:P,12,0)</f>
        <v>7078.25</v>
      </c>
      <c r="T340" s="76">
        <f>VLOOKUP(N340,Uzcard!C:P,14,0)</f>
        <v>8827.75</v>
      </c>
      <c r="U340" s="172">
        <f>IFERROR(VLOOKUP(N340,'2026 iyul uzcard'!A:D,3,0),"0")/1000</f>
        <v>6149</v>
      </c>
      <c r="V340" s="172"/>
      <c r="W340" s="172"/>
      <c r="X340" s="172"/>
      <c r="Y340" s="172"/>
      <c r="Z340" s="172"/>
      <c r="AA340" s="162">
        <f t="shared" si="9"/>
        <v>42214.5</v>
      </c>
      <c r="AB340" s="162"/>
      <c r="AC340" s="162"/>
      <c r="AD340" s="71" t="s">
        <v>1638</v>
      </c>
      <c r="AE340" s="77">
        <v>100458192.72</v>
      </c>
    </row>
    <row r="341" spans="1:31" s="89" customFormat="1">
      <c r="A341" s="71" t="s">
        <v>1338</v>
      </c>
      <c r="B341" s="72" t="s">
        <v>1768</v>
      </c>
      <c r="C341" s="69" t="s">
        <v>21</v>
      </c>
      <c r="D341" s="166" t="s">
        <v>2114</v>
      </c>
      <c r="E341" s="131" t="s">
        <v>370</v>
      </c>
      <c r="F341" s="153" t="s">
        <v>475</v>
      </c>
      <c r="G341" s="131" t="s">
        <v>522</v>
      </c>
      <c r="H341" s="99" t="s">
        <v>1773</v>
      </c>
      <c r="I341" s="67">
        <v>1848</v>
      </c>
      <c r="J341" s="125" t="s">
        <v>1483</v>
      </c>
      <c r="K341" s="79" t="s">
        <v>815</v>
      </c>
      <c r="L341" s="79" t="s">
        <v>802</v>
      </c>
      <c r="M341" s="79" t="s">
        <v>816</v>
      </c>
      <c r="N341" s="109" t="s">
        <v>817</v>
      </c>
      <c r="O341" s="76">
        <f>VLOOKUP(N341,Humo!C:P,4,0)</f>
        <v>9969.4</v>
      </c>
      <c r="P341" s="77">
        <f>VLOOKUP(N341,Humo!C:P,6,0)</f>
        <v>6503.4</v>
      </c>
      <c r="Q341" s="77">
        <f>VLOOKUP(N341,Humo!C:P,8,0)</f>
        <v>9694.5</v>
      </c>
      <c r="R341" s="77">
        <f>VLOOKUP(N341,Humo!C:P,10,0)</f>
        <v>7836.7</v>
      </c>
      <c r="S341" s="77">
        <f>VLOOKUP(N341,Humo!C:P,12,0)</f>
        <v>9382.7000000000007</v>
      </c>
      <c r="T341" s="77">
        <f>VLOOKUP(N341,Humo!C:P,14,0)</f>
        <v>11155.8</v>
      </c>
      <c r="U341" s="77">
        <f>IFERROR(VLOOKUP(N341,'2026 iyul humo'!A:D,4,0),"0")/1000</f>
        <v>13051.55</v>
      </c>
      <c r="V341" s="77"/>
      <c r="W341" s="77"/>
      <c r="X341" s="77"/>
      <c r="Y341" s="77"/>
      <c r="Z341" s="77"/>
      <c r="AA341" s="162">
        <f t="shared" si="9"/>
        <v>67594.05</v>
      </c>
      <c r="AB341" s="162"/>
      <c r="AC341" s="162"/>
      <c r="AD341" s="79" t="s">
        <v>1639</v>
      </c>
      <c r="AE341" s="88">
        <v>105827950</v>
      </c>
    </row>
    <row r="342" spans="1:31">
      <c r="A342" s="71" t="s">
        <v>1339</v>
      </c>
      <c r="B342" s="72" t="s">
        <v>1768</v>
      </c>
      <c r="C342" s="68" t="s">
        <v>21</v>
      </c>
      <c r="D342" s="128" t="s">
        <v>798</v>
      </c>
      <c r="E342" s="128" t="s">
        <v>364</v>
      </c>
      <c r="F342" s="153" t="s">
        <v>475</v>
      </c>
      <c r="G342" s="128" t="s">
        <v>522</v>
      </c>
      <c r="H342" s="90" t="s">
        <v>1780</v>
      </c>
      <c r="I342" s="67">
        <v>1128.7</v>
      </c>
      <c r="J342" s="71" t="s">
        <v>851</v>
      </c>
      <c r="K342" s="71" t="s">
        <v>852</v>
      </c>
      <c r="L342" s="71" t="s">
        <v>853</v>
      </c>
      <c r="M342" s="71" t="s">
        <v>854</v>
      </c>
      <c r="N342" s="75">
        <v>26838</v>
      </c>
      <c r="O342" s="76">
        <f>VLOOKUP(N342,Uzcard!C:P,4,0)</f>
        <v>5043.25</v>
      </c>
      <c r="P342" s="76">
        <f>VLOOKUP(N342,Uzcard!C:P,6,0)</f>
        <v>3277.95</v>
      </c>
      <c r="Q342" s="76">
        <f>VLOOKUP(N342,Uzcard!C:P,8,0)</f>
        <v>4618.6000000000004</v>
      </c>
      <c r="R342" s="76">
        <f>VLOOKUP(N342,Uzcard!C:P,10,0)</f>
        <v>9139.5</v>
      </c>
      <c r="S342" s="76">
        <f>VLOOKUP(N342,Uzcard!C:P,12,0)</f>
        <v>8727.1</v>
      </c>
      <c r="T342" s="76">
        <f>VLOOKUP(N342,Uzcard!C:P,14,0)</f>
        <v>7552.95</v>
      </c>
      <c r="U342" s="172">
        <f>IFERROR(VLOOKUP(N342,'2026 iyul uzcard'!A:D,3,0),"0")/1000</f>
        <v>211.4</v>
      </c>
      <c r="V342" s="172"/>
      <c r="W342" s="172"/>
      <c r="X342" s="172"/>
      <c r="Y342" s="172"/>
      <c r="Z342" s="172"/>
      <c r="AA342" s="162">
        <f t="shared" si="9"/>
        <v>38570.75</v>
      </c>
      <c r="AB342" s="162"/>
      <c r="AC342" s="162"/>
      <c r="AD342" s="71" t="s">
        <v>1642</v>
      </c>
      <c r="AE342" s="77">
        <v>131315497</v>
      </c>
    </row>
    <row r="343" spans="1:31" s="89" customFormat="1">
      <c r="A343" s="71" t="s">
        <v>1340</v>
      </c>
      <c r="B343" s="72" t="s">
        <v>1768</v>
      </c>
      <c r="C343" s="69" t="s">
        <v>21</v>
      </c>
      <c r="D343" s="128" t="s">
        <v>798</v>
      </c>
      <c r="E343" s="131" t="s">
        <v>370</v>
      </c>
      <c r="F343" s="153" t="s">
        <v>475</v>
      </c>
      <c r="G343" s="131" t="s">
        <v>522</v>
      </c>
      <c r="H343" s="99" t="s">
        <v>1773</v>
      </c>
      <c r="I343" s="67">
        <v>1848</v>
      </c>
      <c r="J343" s="79" t="s">
        <v>855</v>
      </c>
      <c r="K343" s="79" t="s">
        <v>856</v>
      </c>
      <c r="L343" s="79" t="s">
        <v>853</v>
      </c>
      <c r="M343" s="79" t="s">
        <v>857</v>
      </c>
      <c r="N343" s="109" t="s">
        <v>858</v>
      </c>
      <c r="O343" s="76">
        <f>VLOOKUP(N343,Humo!C:P,4,0)</f>
        <v>8919.7000000000007</v>
      </c>
      <c r="P343" s="77">
        <f>VLOOKUP(N343,Humo!C:P,6,0)</f>
        <v>12435.7</v>
      </c>
      <c r="Q343" s="77">
        <f>VLOOKUP(N343,Humo!C:P,8,0)</f>
        <v>5696.9</v>
      </c>
      <c r="R343" s="77">
        <f>VLOOKUP(N343,Humo!C:P,10,0)</f>
        <v>9412.7999999999993</v>
      </c>
      <c r="S343" s="77">
        <f>VLOOKUP(N343,Humo!C:P,12,0)</f>
        <v>7477</v>
      </c>
      <c r="T343" s="77">
        <f>VLOOKUP(N343,Humo!C:P,14,0)</f>
        <v>7768.5</v>
      </c>
      <c r="U343" s="77">
        <f>IFERROR(VLOOKUP(N343,'2026 iyul humo'!A:D,4,0),"0")/1000</f>
        <v>14239.1</v>
      </c>
      <c r="V343" s="77"/>
      <c r="W343" s="77"/>
      <c r="X343" s="77"/>
      <c r="Y343" s="77"/>
      <c r="Z343" s="77"/>
      <c r="AA343" s="162">
        <f t="shared" si="9"/>
        <v>65949.700000000012</v>
      </c>
      <c r="AB343" s="162"/>
      <c r="AC343" s="162"/>
      <c r="AD343" s="79" t="s">
        <v>1639</v>
      </c>
      <c r="AE343" s="88">
        <v>105827950</v>
      </c>
    </row>
    <row r="344" spans="1:31" s="89" customFormat="1">
      <c r="A344" s="71" t="s">
        <v>1341</v>
      </c>
      <c r="B344" s="72" t="s">
        <v>1768</v>
      </c>
      <c r="C344" s="69" t="s">
        <v>21</v>
      </c>
      <c r="D344" s="131" t="s">
        <v>799</v>
      </c>
      <c r="E344" s="131" t="s">
        <v>370</v>
      </c>
      <c r="F344" s="153" t="s">
        <v>475</v>
      </c>
      <c r="G344" s="131" t="s">
        <v>522</v>
      </c>
      <c r="H344" s="99" t="s">
        <v>1773</v>
      </c>
      <c r="I344" s="67">
        <v>1848</v>
      </c>
      <c r="J344" s="79" t="s">
        <v>862</v>
      </c>
      <c r="K344" s="79" t="s">
        <v>863</v>
      </c>
      <c r="L344" s="79" t="s">
        <v>864</v>
      </c>
      <c r="M344" s="79" t="s">
        <v>865</v>
      </c>
      <c r="N344" s="109" t="s">
        <v>866</v>
      </c>
      <c r="O344" s="76">
        <f>VLOOKUP(N344,Humo!C:P,4,0)</f>
        <v>5274.6881188118814</v>
      </c>
      <c r="P344" s="77">
        <f>VLOOKUP(N344,Humo!C:P,6,0)</f>
        <v>3168.7029702970299</v>
      </c>
      <c r="Q344" s="77">
        <f>VLOOKUP(N344,Humo!C:P,8,0)</f>
        <v>4299.6831683168321</v>
      </c>
      <c r="R344" s="77">
        <f>VLOOKUP(N344,Humo!C:P,10,0)</f>
        <v>6856.5</v>
      </c>
      <c r="S344" s="77">
        <f>VLOOKUP(N344,Humo!C:P,12,0)</f>
        <v>4245.5</v>
      </c>
      <c r="T344" s="77">
        <f>VLOOKUP(N344,Humo!C:P,14,0)</f>
        <v>4225.4554455445541</v>
      </c>
      <c r="U344" s="77">
        <f>IFERROR(VLOOKUP(N344,'2026 iyul humo'!A:D,4,0),"0")/1000</f>
        <v>5385</v>
      </c>
      <c r="V344" s="77"/>
      <c r="W344" s="77"/>
      <c r="X344" s="77"/>
      <c r="Y344" s="77"/>
      <c r="Z344" s="77"/>
      <c r="AA344" s="162">
        <f t="shared" si="9"/>
        <v>33455.529702970292</v>
      </c>
      <c r="AB344" s="162"/>
      <c r="AC344" s="162"/>
      <c r="AD344" s="79" t="s">
        <v>1640</v>
      </c>
      <c r="AE344" s="88">
        <v>105827950</v>
      </c>
    </row>
    <row r="345" spans="1:31" s="89" customFormat="1">
      <c r="A345" s="71" t="s">
        <v>1433</v>
      </c>
      <c r="B345" s="72" t="s">
        <v>1768</v>
      </c>
      <c r="C345" s="69" t="s">
        <v>21</v>
      </c>
      <c r="D345" s="167" t="s">
        <v>2115</v>
      </c>
      <c r="E345" s="128" t="s">
        <v>364</v>
      </c>
      <c r="F345" s="153" t="s">
        <v>475</v>
      </c>
      <c r="G345" s="128" t="s">
        <v>522</v>
      </c>
      <c r="H345" s="90" t="s">
        <v>1780</v>
      </c>
      <c r="I345" s="67">
        <v>1128.7</v>
      </c>
      <c r="J345" s="71" t="s">
        <v>804</v>
      </c>
      <c r="K345" s="71" t="s">
        <v>805</v>
      </c>
      <c r="L345" s="71" t="s">
        <v>806</v>
      </c>
      <c r="M345" s="71">
        <v>901121111</v>
      </c>
      <c r="N345" s="75">
        <v>22015</v>
      </c>
      <c r="O345" s="76">
        <f>VLOOKUP(N345,Uzcard!C:P,4,0)</f>
        <v>20143.825000000001</v>
      </c>
      <c r="P345" s="76">
        <f>VLOOKUP(N345,Uzcard!C:P,6,0)</f>
        <v>13174.9</v>
      </c>
      <c r="Q345" s="76">
        <f>VLOOKUP(N345,Uzcard!C:P,8,0)</f>
        <v>19836</v>
      </c>
      <c r="R345" s="76">
        <f>VLOOKUP(N345,Uzcard!C:P,10,0)</f>
        <v>17218.075000000001</v>
      </c>
      <c r="S345" s="76">
        <f>VLOOKUP(N345,Uzcard!C:P,12,0)</f>
        <v>14135.525</v>
      </c>
      <c r="T345" s="76">
        <f>VLOOKUP(N345,Uzcard!C:P,14,0)</f>
        <v>11748.7</v>
      </c>
      <c r="U345" s="172">
        <f>IFERROR(VLOOKUP(N345,'2026 iyul uzcard'!A:D,3,0),"0")/1000</f>
        <v>1507</v>
      </c>
      <c r="V345" s="172"/>
      <c r="W345" s="172"/>
      <c r="X345" s="172"/>
      <c r="Y345" s="172"/>
      <c r="Z345" s="172"/>
      <c r="AA345" s="162">
        <f t="shared" si="9"/>
        <v>97764.024999999994</v>
      </c>
      <c r="AB345" s="162"/>
      <c r="AC345" s="162"/>
      <c r="AD345" s="71" t="s">
        <v>1641</v>
      </c>
      <c r="AE345" s="77">
        <v>144808312</v>
      </c>
    </row>
    <row r="346" spans="1:31" s="89" customFormat="1">
      <c r="A346" s="71" t="s">
        <v>1434</v>
      </c>
      <c r="B346" s="72" t="s">
        <v>1768</v>
      </c>
      <c r="C346" s="69" t="s">
        <v>21</v>
      </c>
      <c r="D346" s="167" t="s">
        <v>2116</v>
      </c>
      <c r="E346" s="128" t="s">
        <v>364</v>
      </c>
      <c r="F346" s="153" t="s">
        <v>475</v>
      </c>
      <c r="G346" s="128" t="s">
        <v>522</v>
      </c>
      <c r="H346" s="90" t="s">
        <v>1780</v>
      </c>
      <c r="I346" s="67">
        <v>1128.7</v>
      </c>
      <c r="J346" s="71" t="s">
        <v>807</v>
      </c>
      <c r="K346" s="71" t="s">
        <v>808</v>
      </c>
      <c r="L346" s="71" t="s">
        <v>809</v>
      </c>
      <c r="M346" s="71" t="s">
        <v>810</v>
      </c>
      <c r="N346" s="75">
        <v>26841</v>
      </c>
      <c r="O346" s="76">
        <f>VLOOKUP(N346,Uzcard!C:P,4,0)</f>
        <v>1678</v>
      </c>
      <c r="P346" s="76">
        <f>VLOOKUP(N346,Uzcard!C:P,6,0)</f>
        <v>423</v>
      </c>
      <c r="Q346" s="76">
        <f>VLOOKUP(N346,Uzcard!C:P,8,0)</f>
        <v>3378</v>
      </c>
      <c r="R346" s="76">
        <f>VLOOKUP(N346,Uzcard!C:P,10,0)</f>
        <v>1170.25</v>
      </c>
      <c r="S346" s="76">
        <f>VLOOKUP(N346,Uzcard!C:P,12,0)</f>
        <v>958.75</v>
      </c>
      <c r="T346" s="76">
        <f>VLOOKUP(N346,Uzcard!C:P,14,0)</f>
        <v>1539.5</v>
      </c>
      <c r="U346" s="172">
        <f>IFERROR(VLOOKUP(N346,'2026 iyul uzcard'!A:D,3,0),"0")/1000</f>
        <v>1914.75</v>
      </c>
      <c r="V346" s="172"/>
      <c r="W346" s="172"/>
      <c r="X346" s="172"/>
      <c r="Y346" s="172"/>
      <c r="Z346" s="172"/>
      <c r="AA346" s="162">
        <f t="shared" si="9"/>
        <v>11062.25</v>
      </c>
      <c r="AB346" s="162"/>
      <c r="AC346" s="162"/>
      <c r="AD346" s="159" t="s">
        <v>1641</v>
      </c>
      <c r="AE346" s="77">
        <v>144808312</v>
      </c>
    </row>
    <row r="347" spans="1:31" s="89" customFormat="1">
      <c r="A347" s="71" t="s">
        <v>1435</v>
      </c>
      <c r="B347" s="72" t="s">
        <v>1768</v>
      </c>
      <c r="C347" s="69" t="s">
        <v>21</v>
      </c>
      <c r="D347" s="167" t="s">
        <v>2119</v>
      </c>
      <c r="E347" s="128" t="s">
        <v>364</v>
      </c>
      <c r="F347" s="153" t="s">
        <v>475</v>
      </c>
      <c r="G347" s="128" t="s">
        <v>522</v>
      </c>
      <c r="H347" s="90" t="s">
        <v>1780</v>
      </c>
      <c r="I347" s="67">
        <v>1128.7</v>
      </c>
      <c r="J347" s="71" t="s">
        <v>811</v>
      </c>
      <c r="K347" s="71" t="s">
        <v>812</v>
      </c>
      <c r="L347" s="71" t="s">
        <v>813</v>
      </c>
      <c r="M347" s="71" t="s">
        <v>814</v>
      </c>
      <c r="N347" s="75">
        <v>25736</v>
      </c>
      <c r="O347" s="76">
        <f>VLOOKUP(N347,Uzcard!C:P,4,0)</f>
        <v>2732.25</v>
      </c>
      <c r="P347" s="76">
        <f>VLOOKUP(N347,Uzcard!C:P,6,0)</f>
        <v>1172.8</v>
      </c>
      <c r="Q347" s="76">
        <f>VLOOKUP(N347,Uzcard!C:P,8,0)</f>
        <v>1460.3</v>
      </c>
      <c r="R347" s="76">
        <f>VLOOKUP(N347,Uzcard!C:P,10,0)</f>
        <v>725.35</v>
      </c>
      <c r="S347" s="76">
        <f>VLOOKUP(N347,Uzcard!C:P,12,0)</f>
        <v>890.8</v>
      </c>
      <c r="T347" s="76">
        <f>VLOOKUP(N347,Uzcard!C:P,14,0)</f>
        <v>1497.25</v>
      </c>
      <c r="U347" s="172">
        <f>IFERROR(VLOOKUP(N347,'2026 iyul uzcard'!A:D,3,0),"0")/1000</f>
        <v>3225.95</v>
      </c>
      <c r="V347" s="172"/>
      <c r="W347" s="172"/>
      <c r="X347" s="172"/>
      <c r="Y347" s="172"/>
      <c r="Z347" s="172"/>
      <c r="AA347" s="162">
        <f t="shared" si="9"/>
        <v>11704.7</v>
      </c>
      <c r="AB347" s="162"/>
      <c r="AC347" s="162"/>
      <c r="AD347" s="71" t="s">
        <v>1643</v>
      </c>
      <c r="AE347" s="77">
        <v>144808312</v>
      </c>
    </row>
    <row r="348" spans="1:31" s="89" customFormat="1">
      <c r="A348" s="71" t="s">
        <v>1436</v>
      </c>
      <c r="B348" s="72" t="s">
        <v>1768</v>
      </c>
      <c r="C348" s="69" t="s">
        <v>21</v>
      </c>
      <c r="D348" s="167" t="s">
        <v>2117</v>
      </c>
      <c r="E348" s="128" t="s">
        <v>370</v>
      </c>
      <c r="F348" s="131" t="s">
        <v>371</v>
      </c>
      <c r="G348" s="128" t="s">
        <v>522</v>
      </c>
      <c r="H348" s="128"/>
      <c r="I348" s="128"/>
      <c r="J348" s="71">
        <v>5310177462</v>
      </c>
      <c r="K348" s="71" t="s">
        <v>825</v>
      </c>
      <c r="L348" s="71" t="s">
        <v>826</v>
      </c>
      <c r="M348" s="71" t="s">
        <v>827</v>
      </c>
      <c r="N348" s="75" t="s">
        <v>828</v>
      </c>
      <c r="O348" s="76">
        <f>VLOOKUP(N348,Humo!C:P,4,0)</f>
        <v>1270.5999999999999</v>
      </c>
      <c r="P348" s="77">
        <f>VLOOKUP(N348,Humo!C:P,6,0)</f>
        <v>920.6</v>
      </c>
      <c r="Q348" s="77">
        <f>VLOOKUP(N348,Humo!C:P,8,0)</f>
        <v>631.6</v>
      </c>
      <c r="R348" s="77">
        <f>VLOOKUP(N348,Humo!C:P,10,0)</f>
        <v>1292.0999999999999</v>
      </c>
      <c r="S348" s="77">
        <f>VLOOKUP(N348,Humo!C:P,12,0)</f>
        <v>739.7</v>
      </c>
      <c r="T348" s="77">
        <f>VLOOKUP(N348,Humo!C:P,14,0)</f>
        <v>1178.7</v>
      </c>
      <c r="U348" s="77">
        <f>IFERROR(VLOOKUP(N348,'2026 iyul humo'!A:D,4,0),"0")/1000</f>
        <v>2214.35</v>
      </c>
      <c r="V348" s="77"/>
      <c r="W348" s="77"/>
      <c r="X348" s="77"/>
      <c r="Y348" s="77"/>
      <c r="Z348" s="77"/>
      <c r="AA348" s="162">
        <f t="shared" si="9"/>
        <v>8247.65</v>
      </c>
      <c r="AB348" s="162"/>
      <c r="AC348" s="162"/>
      <c r="AD348" s="71" t="s">
        <v>1505</v>
      </c>
      <c r="AE348" s="77">
        <v>62805331</v>
      </c>
    </row>
    <row r="349" spans="1:31" s="89" customFormat="1">
      <c r="A349" s="71" t="s">
        <v>1437</v>
      </c>
      <c r="B349" s="72" t="s">
        <v>1768</v>
      </c>
      <c r="C349" s="69" t="s">
        <v>21</v>
      </c>
      <c r="D349" s="167" t="s">
        <v>2118</v>
      </c>
      <c r="E349" s="128" t="s">
        <v>364</v>
      </c>
      <c r="F349" s="153" t="s">
        <v>475</v>
      </c>
      <c r="G349" s="128" t="s">
        <v>522</v>
      </c>
      <c r="H349" s="90" t="s">
        <v>1780</v>
      </c>
      <c r="I349" s="67">
        <v>1128.7</v>
      </c>
      <c r="J349" s="71" t="s">
        <v>859</v>
      </c>
      <c r="K349" s="71" t="s">
        <v>860</v>
      </c>
      <c r="L349" s="71" t="s">
        <v>822</v>
      </c>
      <c r="M349" s="71" t="s">
        <v>861</v>
      </c>
      <c r="N349" s="75">
        <v>22315</v>
      </c>
      <c r="O349" s="76">
        <f>VLOOKUP(N349,Uzcard!C:P,4,0)</f>
        <v>3973.75</v>
      </c>
      <c r="P349" s="76">
        <f>VLOOKUP(N349,Uzcard!C:P,6,0)</f>
        <v>2176.35</v>
      </c>
      <c r="Q349" s="76">
        <f>VLOOKUP(N349,Uzcard!C:P,8,0)</f>
        <v>1834.75</v>
      </c>
      <c r="R349" s="76">
        <f>VLOOKUP(N349,Uzcard!C:P,10,0)</f>
        <v>1760.25</v>
      </c>
      <c r="S349" s="76">
        <f>VLOOKUP(N349,Uzcard!C:P,12,0)</f>
        <v>2100.75</v>
      </c>
      <c r="T349" s="76">
        <f>VLOOKUP(N349,Uzcard!C:P,14,0)</f>
        <v>2256.5</v>
      </c>
      <c r="U349" s="172">
        <f>IFERROR(VLOOKUP(N349,'2026 iyul uzcard'!A:D,3,0),"0")/1000</f>
        <v>869.75</v>
      </c>
      <c r="V349" s="172"/>
      <c r="W349" s="172"/>
      <c r="X349" s="172"/>
      <c r="Y349" s="172"/>
      <c r="Z349" s="172"/>
      <c r="AA349" s="162">
        <f t="shared" si="9"/>
        <v>14972.1</v>
      </c>
      <c r="AB349" s="162"/>
      <c r="AC349" s="162"/>
      <c r="AD349" s="71" t="s">
        <v>1534</v>
      </c>
      <c r="AE349" s="77">
        <v>131315497</v>
      </c>
    </row>
    <row r="350" spans="1:31" s="89" customFormat="1">
      <c r="A350" s="71" t="s">
        <v>1438</v>
      </c>
      <c r="B350" s="72" t="s">
        <v>1768</v>
      </c>
      <c r="C350" s="69" t="s">
        <v>21</v>
      </c>
      <c r="D350" s="167" t="s">
        <v>2118</v>
      </c>
      <c r="E350" s="128" t="s">
        <v>381</v>
      </c>
      <c r="F350" s="93" t="s">
        <v>382</v>
      </c>
      <c r="G350" s="94" t="s">
        <v>491</v>
      </c>
      <c r="H350" s="156"/>
      <c r="I350" s="156"/>
      <c r="J350" s="79">
        <v>1119353</v>
      </c>
      <c r="K350" s="71" t="s">
        <v>834</v>
      </c>
      <c r="L350" s="71" t="s">
        <v>822</v>
      </c>
      <c r="M350" s="71" t="s">
        <v>835</v>
      </c>
      <c r="N350" s="75" t="s">
        <v>835</v>
      </c>
      <c r="O350" s="76">
        <f>IFERROR(VLOOKUP(N350,'2026 yanvar vash'!A:D,4,0),"0")/1000</f>
        <v>0</v>
      </c>
      <c r="P350" s="173">
        <f>IFERROR(VLOOKUP(N350,'2026 fevral vash'!A:D,4,0),"0")/1000</f>
        <v>0</v>
      </c>
      <c r="Q350" s="173">
        <f>IFERROR(VLOOKUP(N350,'2026 mart vash'!A:D,4,0),"0")/1000</f>
        <v>0.2</v>
      </c>
      <c r="R350" s="173">
        <f>IFERROR(VLOOKUP(N350,'2026 aprel vash'!A:D,4,0),"0")/1000</f>
        <v>0</v>
      </c>
      <c r="S350" s="173">
        <f>IFERROR(VLOOKUP(N350,'2026 may vash'!A:D,4,0),"0")/1000</f>
        <v>0</v>
      </c>
      <c r="T350" s="173">
        <f>IFERROR(VLOOKUP(N350,'2026 iyun vash'!A:D,4,0),"0")/1000</f>
        <v>0</v>
      </c>
      <c r="U350" s="173">
        <f>IFERROR(VLOOKUP(N350,'2026 iyul vash'!A:D,4,0),"0")/1000</f>
        <v>0</v>
      </c>
      <c r="V350" s="173"/>
      <c r="W350" s="173"/>
      <c r="X350" s="173"/>
      <c r="Y350" s="173"/>
      <c r="Z350" s="173"/>
      <c r="AA350" s="162">
        <f t="shared" si="9"/>
        <v>0.2</v>
      </c>
      <c r="AB350" s="162"/>
      <c r="AC350" s="162"/>
      <c r="AD350" s="71" t="s">
        <v>1526</v>
      </c>
      <c r="AE350" s="77">
        <v>216557286.44999999</v>
      </c>
    </row>
    <row r="351" spans="1:31" s="89" customFormat="1">
      <c r="A351" s="71" t="s">
        <v>1439</v>
      </c>
      <c r="B351" s="72" t="s">
        <v>1768</v>
      </c>
      <c r="C351" s="69" t="s">
        <v>21</v>
      </c>
      <c r="D351" s="167" t="s">
        <v>2118</v>
      </c>
      <c r="E351" s="128" t="s">
        <v>370</v>
      </c>
      <c r="F351" s="131" t="s">
        <v>371</v>
      </c>
      <c r="G351" s="128" t="s">
        <v>522</v>
      </c>
      <c r="H351" s="98" t="s">
        <v>1773</v>
      </c>
      <c r="I351" s="67">
        <v>1848</v>
      </c>
      <c r="J351" s="71">
        <v>5310177432</v>
      </c>
      <c r="K351" s="71" t="s">
        <v>821</v>
      </c>
      <c r="L351" s="71" t="s">
        <v>822</v>
      </c>
      <c r="M351" s="71" t="s">
        <v>823</v>
      </c>
      <c r="N351" s="75" t="s">
        <v>824</v>
      </c>
      <c r="O351" s="76">
        <f>VLOOKUP(N351,Humo!C:P,4,0)</f>
        <v>0</v>
      </c>
      <c r="P351" s="77">
        <f>VLOOKUP(N351,Humo!C:P,6,0)</f>
        <v>2561.029702970297</v>
      </c>
      <c r="Q351" s="77">
        <f>VLOOKUP(N351,Humo!C:P,8,0)</f>
        <v>2420.0470297029701</v>
      </c>
      <c r="R351" s="77">
        <f>VLOOKUP(N351,Humo!C:P,10,0)</f>
        <v>2103.3168316831684</v>
      </c>
      <c r="S351" s="77">
        <f>VLOOKUP(N351,Humo!C:P,12,0)</f>
        <v>3393.7896039603961</v>
      </c>
      <c r="T351" s="77">
        <f>VLOOKUP(N351,Humo!C:P,14,0)</f>
        <v>1861.2301980198019</v>
      </c>
      <c r="U351" s="77">
        <f>IFERROR(VLOOKUP(N351,'2026 iyul humo'!A:D,4,0),"0")/1000</f>
        <v>1771.75</v>
      </c>
      <c r="V351" s="77"/>
      <c r="W351" s="77"/>
      <c r="X351" s="77"/>
      <c r="Y351" s="77"/>
      <c r="Z351" s="77"/>
      <c r="AA351" s="162">
        <f t="shared" si="9"/>
        <v>14111.163366336636</v>
      </c>
      <c r="AB351" s="162"/>
      <c r="AC351" s="162"/>
      <c r="AD351" s="71" t="s">
        <v>1505</v>
      </c>
      <c r="AE351" s="77">
        <v>62805331</v>
      </c>
    </row>
    <row r="352" spans="1:31">
      <c r="A352" s="71" t="s">
        <v>1440</v>
      </c>
      <c r="B352" s="72" t="s">
        <v>1769</v>
      </c>
      <c r="C352" s="68" t="s">
        <v>22</v>
      </c>
      <c r="D352" s="73" t="s">
        <v>1246</v>
      </c>
      <c r="E352" s="128" t="s">
        <v>364</v>
      </c>
      <c r="F352" s="153" t="s">
        <v>475</v>
      </c>
      <c r="G352" s="128" t="s">
        <v>522</v>
      </c>
      <c r="H352" s="90" t="s">
        <v>1780</v>
      </c>
      <c r="I352" s="67">
        <v>1128.7</v>
      </c>
      <c r="J352" s="71" t="s">
        <v>867</v>
      </c>
      <c r="K352" s="71" t="s">
        <v>668</v>
      </c>
      <c r="L352" s="71" t="s">
        <v>868</v>
      </c>
      <c r="M352" s="71">
        <v>90110029353</v>
      </c>
      <c r="N352" s="75">
        <v>30801</v>
      </c>
      <c r="O352" s="76">
        <f>VLOOKUP(N352,Uzcard!C:P,4,0)</f>
        <v>11669.1</v>
      </c>
      <c r="P352" s="76">
        <f>VLOOKUP(N352,Uzcard!C:P,6,0)</f>
        <v>13598.85</v>
      </c>
      <c r="Q352" s="76">
        <f>VLOOKUP(N352,Uzcard!C:P,8,0)</f>
        <v>15714.25</v>
      </c>
      <c r="R352" s="76">
        <f>VLOOKUP(N352,Uzcard!C:P,10,0)</f>
        <v>13492.2</v>
      </c>
      <c r="S352" s="76">
        <f>VLOOKUP(N352,Uzcard!C:P,12,0)</f>
        <v>17055.7</v>
      </c>
      <c r="T352" s="76">
        <f>VLOOKUP(N352,Uzcard!C:P,14,0)</f>
        <v>16036.3</v>
      </c>
      <c r="U352" s="172">
        <f>IFERROR(VLOOKUP(N352,'2026 iyul uzcard'!A:D,3,0),"0")/1000</f>
        <v>13579.45</v>
      </c>
      <c r="V352" s="172"/>
      <c r="W352" s="172"/>
      <c r="X352" s="172"/>
      <c r="Y352" s="172"/>
      <c r="Z352" s="172"/>
      <c r="AA352" s="162">
        <f t="shared" si="9"/>
        <v>101145.84999999999</v>
      </c>
      <c r="AB352" s="162"/>
      <c r="AC352" s="162"/>
      <c r="AD352" s="71" t="s">
        <v>1607</v>
      </c>
      <c r="AE352" s="77">
        <v>105827950</v>
      </c>
    </row>
    <row r="353" spans="1:31">
      <c r="A353" s="71" t="s">
        <v>1441</v>
      </c>
      <c r="B353" s="72" t="s">
        <v>1769</v>
      </c>
      <c r="C353" s="68" t="s">
        <v>22</v>
      </c>
      <c r="D353" s="73" t="s">
        <v>1246</v>
      </c>
      <c r="E353" s="128" t="s">
        <v>370</v>
      </c>
      <c r="F353" s="160" t="s">
        <v>376</v>
      </c>
      <c r="G353" s="128" t="s">
        <v>522</v>
      </c>
      <c r="H353" s="98" t="s">
        <v>1773</v>
      </c>
      <c r="I353" s="67">
        <v>1848</v>
      </c>
      <c r="J353" s="131" t="s">
        <v>872</v>
      </c>
      <c r="K353" s="71" t="s">
        <v>869</v>
      </c>
      <c r="L353" s="71" t="s">
        <v>868</v>
      </c>
      <c r="M353" s="71" t="s">
        <v>870</v>
      </c>
      <c r="N353" s="75" t="s">
        <v>871</v>
      </c>
      <c r="O353" s="76">
        <f>VLOOKUP(N353,Humo!C:P,4,0)</f>
        <v>6349.1</v>
      </c>
      <c r="P353" s="77">
        <f>VLOOKUP(N353,Humo!C:P,6,0)</f>
        <v>7794.8</v>
      </c>
      <c r="Q353" s="77">
        <f>VLOOKUP(N353,Humo!C:P,8,0)</f>
        <v>8375.7000000000007</v>
      </c>
      <c r="R353" s="77">
        <f>VLOOKUP(N353,Humo!C:P,10,0)</f>
        <v>6009.8</v>
      </c>
      <c r="S353" s="77">
        <f>VLOOKUP(N353,Humo!C:P,12,0)</f>
        <v>7068</v>
      </c>
      <c r="T353" s="77">
        <f>VLOOKUP(N353,Humo!C:P,14,0)</f>
        <v>5678.4</v>
      </c>
      <c r="U353" s="77">
        <f>IFERROR(VLOOKUP(N353,'2026 iyul humo'!A:D,4,0),"0")/1000</f>
        <v>6001.9</v>
      </c>
      <c r="V353" s="77"/>
      <c r="W353" s="77"/>
      <c r="X353" s="77"/>
      <c r="Y353" s="77"/>
      <c r="Z353" s="77"/>
      <c r="AA353" s="162">
        <f t="shared" si="9"/>
        <v>47277.700000000004</v>
      </c>
      <c r="AB353" s="162"/>
      <c r="AC353" s="162"/>
      <c r="AD353" s="71" t="s">
        <v>1645</v>
      </c>
      <c r="AE353" s="77">
        <v>168243023</v>
      </c>
    </row>
    <row r="354" spans="1:31">
      <c r="A354" s="71" t="s">
        <v>1442</v>
      </c>
      <c r="B354" s="72" t="s">
        <v>1769</v>
      </c>
      <c r="C354" s="68" t="s">
        <v>22</v>
      </c>
      <c r="D354" s="73" t="s">
        <v>1246</v>
      </c>
      <c r="E354" s="128" t="s">
        <v>381</v>
      </c>
      <c r="F354" s="93" t="s">
        <v>382</v>
      </c>
      <c r="G354" s="94" t="s">
        <v>491</v>
      </c>
      <c r="H354" s="94"/>
      <c r="I354" s="94"/>
      <c r="J354" s="71">
        <v>1418258</v>
      </c>
      <c r="K354" s="71" t="s">
        <v>876</v>
      </c>
      <c r="L354" s="71" t="s">
        <v>868</v>
      </c>
      <c r="M354" s="71" t="s">
        <v>875</v>
      </c>
      <c r="N354" s="75" t="s">
        <v>875</v>
      </c>
      <c r="O354" s="76">
        <f>IFERROR(VLOOKUP(N354,'2026 yanvar vash'!A:D,4,0),"0")/1000</f>
        <v>0</v>
      </c>
      <c r="P354" s="173">
        <f>IFERROR(VLOOKUP(N354,'2026 fevral vash'!A:D,4,0),"0")/1000</f>
        <v>0</v>
      </c>
      <c r="Q354" s="173">
        <f>IFERROR(VLOOKUP(N354,'2026 mart vash'!A:D,4,0),"0")/1000</f>
        <v>0</v>
      </c>
      <c r="R354" s="173">
        <f>IFERROR(VLOOKUP(N354,'2026 aprel vash'!A:D,4,0),"0")/1000</f>
        <v>0</v>
      </c>
      <c r="S354" s="173">
        <f>IFERROR(VLOOKUP(N354,'2026 may vash'!A:D,4,0),"0")/1000</f>
        <v>0</v>
      </c>
      <c r="T354" s="173">
        <f>IFERROR(VLOOKUP(N354,'2026 iyun vash'!A:D,4,0),"0")/1000</f>
        <v>0</v>
      </c>
      <c r="U354" s="173">
        <f>IFERROR(VLOOKUP(N354,'2026 iyul vash'!A:D,4,0),"0")/1000</f>
        <v>0</v>
      </c>
      <c r="V354" s="173"/>
      <c r="W354" s="173"/>
      <c r="X354" s="173"/>
      <c r="Y354" s="173"/>
      <c r="Z354" s="173"/>
      <c r="AA354" s="162">
        <f t="shared" si="9"/>
        <v>0</v>
      </c>
      <c r="AB354" s="162"/>
      <c r="AC354" s="162"/>
      <c r="AD354" s="71" t="s">
        <v>1550</v>
      </c>
      <c r="AE354" s="77">
        <v>171904842.81999999</v>
      </c>
    </row>
    <row r="355" spans="1:31">
      <c r="A355" s="71" t="s">
        <v>1443</v>
      </c>
      <c r="B355" s="72" t="s">
        <v>1769</v>
      </c>
      <c r="C355" s="68" t="s">
        <v>22</v>
      </c>
      <c r="D355" s="128" t="s">
        <v>24</v>
      </c>
      <c r="E355" s="128" t="s">
        <v>364</v>
      </c>
      <c r="F355" s="153" t="s">
        <v>474</v>
      </c>
      <c r="G355" s="128" t="s">
        <v>491</v>
      </c>
      <c r="H355" s="128"/>
      <c r="I355" s="128"/>
      <c r="J355" s="127" t="s">
        <v>1689</v>
      </c>
      <c r="K355" s="71" t="s">
        <v>873</v>
      </c>
      <c r="L355" s="71" t="s">
        <v>868</v>
      </c>
      <c r="M355" s="71" t="s">
        <v>874</v>
      </c>
      <c r="N355" s="75">
        <v>17096</v>
      </c>
      <c r="O355" s="76">
        <f>VLOOKUP(N355,Uzcard!C:P,4,0)</f>
        <v>0</v>
      </c>
      <c r="P355" s="76">
        <f>VLOOKUP(N355,Uzcard!C:P,6,0)</f>
        <v>0</v>
      </c>
      <c r="Q355" s="76">
        <f>VLOOKUP(N355,Uzcard!C:P,8,0)</f>
        <v>0</v>
      </c>
      <c r="R355" s="76">
        <f>VLOOKUP(N355,Uzcard!C:P,10,0)</f>
        <v>0</v>
      </c>
      <c r="S355" s="76">
        <f>VLOOKUP(N355,Uzcard!C:P,12,0)</f>
        <v>0</v>
      </c>
      <c r="T355" s="76">
        <f>VLOOKUP(N355,Uzcard!C:P,14,0)</f>
        <v>0</v>
      </c>
      <c r="U355" s="172">
        <f>IFERROR(VLOOKUP(N355,'2026 iyul uzcard'!A:D,3,0),"0")/1000</f>
        <v>0</v>
      </c>
      <c r="V355" s="172"/>
      <c r="W355" s="172"/>
      <c r="X355" s="172"/>
      <c r="Y355" s="172"/>
      <c r="Z355" s="172"/>
      <c r="AA355" s="162">
        <f t="shared" si="9"/>
        <v>0</v>
      </c>
      <c r="AB355" s="162"/>
      <c r="AC355" s="162"/>
      <c r="AD355" s="71" t="s">
        <v>1646</v>
      </c>
      <c r="AE355" s="77">
        <v>106507213.69</v>
      </c>
    </row>
    <row r="356" spans="1:31">
      <c r="A356" s="71" t="s">
        <v>1444</v>
      </c>
      <c r="B356" s="72" t="s">
        <v>1770</v>
      </c>
      <c r="C356" s="68" t="s">
        <v>23</v>
      </c>
      <c r="D356" s="73" t="s">
        <v>1243</v>
      </c>
      <c r="E356" s="105" t="s">
        <v>364</v>
      </c>
      <c r="F356" s="153" t="s">
        <v>475</v>
      </c>
      <c r="G356" s="128" t="s">
        <v>522</v>
      </c>
      <c r="H356" s="90" t="s">
        <v>1780</v>
      </c>
      <c r="I356" s="67">
        <v>1128.7</v>
      </c>
      <c r="J356" s="71" t="s">
        <v>732</v>
      </c>
      <c r="K356" s="71" t="s">
        <v>733</v>
      </c>
      <c r="L356" s="71" t="s">
        <v>734</v>
      </c>
      <c r="M356" s="71" t="s">
        <v>735</v>
      </c>
      <c r="N356" s="75">
        <v>31956</v>
      </c>
      <c r="O356" s="76">
        <f>VLOOKUP(N356,Uzcard!C:P,4,0)</f>
        <v>6545.4750000000004</v>
      </c>
      <c r="P356" s="76">
        <f>VLOOKUP(N356,Uzcard!C:P,6,0)</f>
        <v>12859.1</v>
      </c>
      <c r="Q356" s="76">
        <f>VLOOKUP(N356,Uzcard!C:P,8,0)</f>
        <v>17272.150000000001</v>
      </c>
      <c r="R356" s="76">
        <f>VLOOKUP(N356,Uzcard!C:P,10,0)</f>
        <v>18874.05</v>
      </c>
      <c r="S356" s="76">
        <f>VLOOKUP(N356,Uzcard!C:P,12,0)</f>
        <v>12993.125</v>
      </c>
      <c r="T356" s="76">
        <f>VLOOKUP(N356,Uzcard!C:P,14,0)</f>
        <v>11257.325000000001</v>
      </c>
      <c r="U356" s="172">
        <f>IFERROR(VLOOKUP(N356,'2026 iyul uzcard'!A:D,3,0),"0")/1000</f>
        <v>12392.375</v>
      </c>
      <c r="V356" s="172"/>
      <c r="W356" s="172"/>
      <c r="X356" s="172"/>
      <c r="Y356" s="172"/>
      <c r="Z356" s="172"/>
      <c r="AA356" s="162">
        <f t="shared" si="9"/>
        <v>92193.600000000006</v>
      </c>
      <c r="AB356" s="162"/>
      <c r="AC356" s="162"/>
      <c r="AD356" s="71" t="s">
        <v>1565</v>
      </c>
      <c r="AE356" s="77">
        <v>131315497</v>
      </c>
    </row>
    <row r="357" spans="1:31">
      <c r="A357" s="71" t="s">
        <v>1445</v>
      </c>
      <c r="B357" s="72" t="s">
        <v>1770</v>
      </c>
      <c r="C357" s="68" t="s">
        <v>23</v>
      </c>
      <c r="D357" s="73" t="s">
        <v>1243</v>
      </c>
      <c r="E357" s="105" t="s">
        <v>370</v>
      </c>
      <c r="F357" s="153" t="s">
        <v>376</v>
      </c>
      <c r="G357" s="128" t="s">
        <v>522</v>
      </c>
      <c r="H357" s="98" t="s">
        <v>1773</v>
      </c>
      <c r="I357" s="67">
        <v>1848</v>
      </c>
      <c r="J357" s="79" t="s">
        <v>736</v>
      </c>
      <c r="K357" s="71" t="s">
        <v>737</v>
      </c>
      <c r="L357" s="71" t="s">
        <v>734</v>
      </c>
      <c r="M357" s="71" t="s">
        <v>738</v>
      </c>
      <c r="N357" s="75" t="s">
        <v>739</v>
      </c>
      <c r="O357" s="76">
        <f>VLOOKUP(N357,Humo!C:P,4,0)</f>
        <v>3093.85</v>
      </c>
      <c r="P357" s="77">
        <f>VLOOKUP(N357,Humo!C:P,6,0)</f>
        <v>0</v>
      </c>
      <c r="Q357" s="77">
        <f>VLOOKUP(N357,Humo!C:P,8,0)</f>
        <v>3718.9400990099011</v>
      </c>
      <c r="R357" s="77">
        <f>VLOOKUP(N357,Humo!C:P,10,0)</f>
        <v>1428.3707920792081</v>
      </c>
      <c r="S357" s="77">
        <f>VLOOKUP(N357,Humo!C:P,12,0)</f>
        <v>3691.05</v>
      </c>
      <c r="T357" s="77">
        <f>VLOOKUP(N357,Humo!C:P,14,0)</f>
        <v>914.35</v>
      </c>
      <c r="U357" s="77">
        <f>IFERROR(VLOOKUP(N357,'2026 iyul humo'!A:D,4,0),"0")/1000</f>
        <v>1498.05</v>
      </c>
      <c r="V357" s="77"/>
      <c r="W357" s="77"/>
      <c r="X357" s="77"/>
      <c r="Y357" s="77"/>
      <c r="Z357" s="77"/>
      <c r="AA357" s="162">
        <f t="shared" si="9"/>
        <v>14344.610891089107</v>
      </c>
      <c r="AB357" s="162"/>
      <c r="AC357" s="162"/>
      <c r="AD357" s="71" t="s">
        <v>1648</v>
      </c>
      <c r="AE357" s="77">
        <v>168243023</v>
      </c>
    </row>
    <row r="358" spans="1:31">
      <c r="A358" s="71" t="s">
        <v>1446</v>
      </c>
      <c r="B358" s="72" t="s">
        <v>1770</v>
      </c>
      <c r="C358" s="68" t="s">
        <v>23</v>
      </c>
      <c r="D358" s="128" t="s">
        <v>740</v>
      </c>
      <c r="E358" s="105" t="s">
        <v>370</v>
      </c>
      <c r="F358" s="153" t="s">
        <v>376</v>
      </c>
      <c r="G358" s="128" t="s">
        <v>522</v>
      </c>
      <c r="H358" s="98" t="s">
        <v>1773</v>
      </c>
      <c r="I358" s="67">
        <v>1848</v>
      </c>
      <c r="J358" s="79" t="s">
        <v>741</v>
      </c>
      <c r="K358" s="71" t="s">
        <v>742</v>
      </c>
      <c r="L358" s="71" t="s">
        <v>743</v>
      </c>
      <c r="M358" s="71" t="s">
        <v>744</v>
      </c>
      <c r="N358" s="75" t="s">
        <v>745</v>
      </c>
      <c r="O358" s="76">
        <f>VLOOKUP(N358,Humo!C:P,4,0)</f>
        <v>2480.1999999999998</v>
      </c>
      <c r="P358" s="77">
        <f>VLOOKUP(N358,Humo!C:P,6,0)</f>
        <v>2025.1</v>
      </c>
      <c r="Q358" s="77">
        <f>VLOOKUP(N358,Humo!C:P,8,0)</f>
        <v>2528.8000000000002</v>
      </c>
      <c r="R358" s="77">
        <f>VLOOKUP(N358,Humo!C:P,10,0)</f>
        <v>2963.6</v>
      </c>
      <c r="S358" s="77">
        <f>VLOOKUP(N358,Humo!C:P,12,0)</f>
        <v>3433.6</v>
      </c>
      <c r="T358" s="77">
        <f>VLOOKUP(N358,Humo!C:P,14,0)</f>
        <v>2822.3</v>
      </c>
      <c r="U358" s="77">
        <f>IFERROR(VLOOKUP(N358,'2026 iyul humo'!A:D,4,0),"0")/1000</f>
        <v>2502.3000000000002</v>
      </c>
      <c r="V358" s="77"/>
      <c r="W358" s="77"/>
      <c r="X358" s="77"/>
      <c r="Y358" s="77"/>
      <c r="Z358" s="77"/>
      <c r="AA358" s="162">
        <f t="shared" si="9"/>
        <v>18755.899999999998</v>
      </c>
      <c r="AB358" s="162"/>
      <c r="AC358" s="162"/>
      <c r="AD358" s="71" t="s">
        <v>1647</v>
      </c>
      <c r="AE358" s="77">
        <v>168243023</v>
      </c>
    </row>
    <row r="359" spans="1:31">
      <c r="A359" s="176"/>
      <c r="B359" s="176"/>
      <c r="C359" s="177" t="s">
        <v>2110</v>
      </c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8"/>
      <c r="O359" s="179">
        <f>SUBTOTAL(9,O2:O358)</f>
        <v>1518805.6617326739</v>
      </c>
      <c r="P359" s="179">
        <f t="shared" ref="P359:AA359" si="10">SUBTOTAL(9,P2:P358)</f>
        <v>1475202.7734087175</v>
      </c>
      <c r="Q359" s="179">
        <f t="shared" si="10"/>
        <v>1884176.6859644121</v>
      </c>
      <c r="R359" s="179">
        <f t="shared" si="10"/>
        <v>1584752.3199548607</v>
      </c>
      <c r="S359" s="179">
        <f t="shared" si="10"/>
        <v>1734834.7490946839</v>
      </c>
      <c r="T359" s="179">
        <f t="shared" si="10"/>
        <v>1788487.3295207932</v>
      </c>
      <c r="U359" s="179">
        <f t="shared" si="10"/>
        <v>1743381.0100000012</v>
      </c>
      <c r="V359" s="179">
        <f t="shared" si="10"/>
        <v>0</v>
      </c>
      <c r="W359" s="179">
        <f t="shared" si="10"/>
        <v>0</v>
      </c>
      <c r="X359" s="179">
        <f t="shared" si="10"/>
        <v>0</v>
      </c>
      <c r="Y359" s="179">
        <f t="shared" si="10"/>
        <v>0</v>
      </c>
      <c r="Z359" s="179">
        <f t="shared" si="10"/>
        <v>0</v>
      </c>
      <c r="AA359" s="179">
        <f t="shared" si="10"/>
        <v>11729640.529676139</v>
      </c>
      <c r="AB359" s="179"/>
      <c r="AC359" s="179"/>
      <c r="AD359" s="176"/>
      <c r="AE359" s="176"/>
    </row>
  </sheetData>
  <autoFilter ref="A1:AE358" xr:uid="{5785BA7D-0700-47F8-9B50-C2564A17DCC2}"/>
  <phoneticPr fontId="51" type="noConversion"/>
  <pageMargins left="0.39370078740157483" right="0.39370078740157483" top="0.39370078740157483" bottom="0.39370078740157483" header="0.39370078740157483" footer="0.39370078740157483"/>
  <pageSetup paperSize="9" scale="4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AAF1-5FFF-45DB-9F05-66B4E82E1646}">
  <dimension ref="A1:P179"/>
  <sheetViews>
    <sheetView zoomScale="85" zoomScaleNormal="85" workbookViewId="0">
      <selection activeCell="C96" sqref="C96"/>
    </sheetView>
  </sheetViews>
  <sheetFormatPr defaultColWidth="63.7109375" defaultRowHeight="15"/>
  <cols>
    <col min="1" max="1" width="11.7109375" bestFit="1" customWidth="1"/>
    <col min="2" max="2" width="63.140625" bestFit="1" customWidth="1"/>
    <col min="3" max="3" width="12.42578125" style="58" bestFit="1" customWidth="1"/>
    <col min="4" max="4" width="17.7109375" bestFit="1" customWidth="1"/>
    <col min="5" max="5" width="25" bestFit="1" customWidth="1"/>
    <col min="6" max="7" width="26.5703125" bestFit="1" customWidth="1"/>
    <col min="8" max="8" width="28" bestFit="1" customWidth="1"/>
    <col min="9" max="9" width="24.28515625" bestFit="1" customWidth="1"/>
    <col min="10" max="10" width="25.85546875" bestFit="1" customWidth="1"/>
    <col min="11" max="11" width="25.140625" bestFit="1" customWidth="1"/>
    <col min="12" max="12" width="26.7109375" bestFit="1" customWidth="1"/>
    <col min="13" max="13" width="23.28515625" bestFit="1" customWidth="1"/>
    <col min="14" max="14" width="24.7109375" bestFit="1" customWidth="1"/>
    <col min="15" max="15" width="24.5703125" bestFit="1" customWidth="1"/>
    <col min="16" max="16" width="26.140625" bestFit="1" customWidth="1"/>
  </cols>
  <sheetData>
    <row r="1" spans="1:16" ht="28.5">
      <c r="A1" s="14" t="s">
        <v>1812</v>
      </c>
      <c r="B1" s="15" t="s">
        <v>1813</v>
      </c>
      <c r="C1" s="51" t="s">
        <v>2</v>
      </c>
      <c r="D1" s="16" t="s">
        <v>0</v>
      </c>
      <c r="E1" s="17" t="s">
        <v>1814</v>
      </c>
      <c r="F1" s="17" t="s">
        <v>1815</v>
      </c>
      <c r="G1" s="17" t="s">
        <v>1816</v>
      </c>
      <c r="H1" s="17" t="s">
        <v>1817</v>
      </c>
      <c r="I1" s="17" t="s">
        <v>1818</v>
      </c>
      <c r="J1" s="17" t="s">
        <v>1819</v>
      </c>
      <c r="K1" s="17" t="s">
        <v>1820</v>
      </c>
      <c r="L1" s="17" t="s">
        <v>1821</v>
      </c>
      <c r="M1" s="17" t="s">
        <v>1822</v>
      </c>
      <c r="N1" s="17" t="s">
        <v>1823</v>
      </c>
      <c r="O1" s="17" t="s">
        <v>1824</v>
      </c>
      <c r="P1" s="17" t="s">
        <v>1825</v>
      </c>
    </row>
    <row r="2" spans="1:16">
      <c r="A2" s="18" t="s">
        <v>1826</v>
      </c>
      <c r="B2" s="19" t="s">
        <v>1827</v>
      </c>
      <c r="C2" s="52">
        <v>15897</v>
      </c>
      <c r="D2" s="20" t="s">
        <v>474</v>
      </c>
      <c r="E2" s="22">
        <v>806566.55535000004</v>
      </c>
      <c r="F2" s="22">
        <v>8094.65</v>
      </c>
      <c r="G2" s="22">
        <v>634117.48609999998</v>
      </c>
      <c r="H2" s="22">
        <v>6413.9</v>
      </c>
      <c r="I2" s="22">
        <v>1058479.2800499999</v>
      </c>
      <c r="J2" s="22">
        <v>10669.95</v>
      </c>
      <c r="K2" s="22">
        <v>747629.86265000002</v>
      </c>
      <c r="L2" s="22">
        <v>7487.35</v>
      </c>
      <c r="M2" s="22">
        <v>1196735.1428499999</v>
      </c>
      <c r="N2" s="22">
        <v>12007.15</v>
      </c>
      <c r="O2" s="22">
        <v>842024.31724999996</v>
      </c>
      <c r="P2" s="22">
        <v>8432.75</v>
      </c>
    </row>
    <row r="3" spans="1:16">
      <c r="A3" s="18" t="s">
        <v>1826</v>
      </c>
      <c r="B3" s="19" t="s">
        <v>1827</v>
      </c>
      <c r="C3" s="52">
        <v>39945</v>
      </c>
      <c r="D3" s="20" t="s">
        <v>1828</v>
      </c>
      <c r="E3" s="22"/>
      <c r="F3" s="22"/>
      <c r="G3" s="22"/>
      <c r="H3" s="22"/>
      <c r="I3" s="22"/>
      <c r="J3" s="22"/>
      <c r="K3" s="22">
        <v>0</v>
      </c>
      <c r="L3" s="22">
        <v>0</v>
      </c>
      <c r="M3" s="22"/>
      <c r="N3" s="22"/>
      <c r="O3" s="22">
        <v>51156.732000000004</v>
      </c>
      <c r="P3" s="22">
        <v>368</v>
      </c>
    </row>
    <row r="4" spans="1:16">
      <c r="A4" s="18" t="s">
        <v>1826</v>
      </c>
      <c r="B4" s="23" t="s">
        <v>1829</v>
      </c>
      <c r="C4" s="53">
        <v>18114</v>
      </c>
      <c r="D4" s="20" t="s">
        <v>474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</row>
    <row r="5" spans="1:16">
      <c r="A5" s="18" t="s">
        <v>1826</v>
      </c>
      <c r="B5" s="19" t="s">
        <v>1830</v>
      </c>
      <c r="C5" s="52">
        <v>18327</v>
      </c>
      <c r="D5" s="20" t="s">
        <v>474</v>
      </c>
      <c r="E5" s="22">
        <v>705722.52045000007</v>
      </c>
      <c r="F5" s="22">
        <v>7029.55</v>
      </c>
      <c r="G5" s="22">
        <v>405958.68725000002</v>
      </c>
      <c r="H5" s="22">
        <v>4062.75</v>
      </c>
      <c r="I5" s="22">
        <v>817747.04479999992</v>
      </c>
      <c r="J5" s="22">
        <v>8155.2</v>
      </c>
      <c r="K5" s="22">
        <v>408697.06880000001</v>
      </c>
      <c r="L5" s="22">
        <v>4131.2</v>
      </c>
      <c r="M5" s="22">
        <v>1181567.6004000001</v>
      </c>
      <c r="N5" s="22">
        <v>11999.6</v>
      </c>
      <c r="O5" s="22">
        <v>1126258.62995</v>
      </c>
      <c r="P5" s="22">
        <v>11420.05</v>
      </c>
    </row>
    <row r="6" spans="1:16">
      <c r="A6" s="18" t="s">
        <v>1826</v>
      </c>
      <c r="B6" s="19" t="s">
        <v>1831</v>
      </c>
      <c r="C6" s="52">
        <v>21302</v>
      </c>
      <c r="D6" s="20" t="s">
        <v>475</v>
      </c>
      <c r="E6" s="22">
        <v>529051.74294999999</v>
      </c>
      <c r="F6" s="22">
        <v>5307.05</v>
      </c>
      <c r="G6" s="22">
        <v>1343159.8166500002</v>
      </c>
      <c r="H6" s="22">
        <v>13533.35</v>
      </c>
      <c r="I6" s="22">
        <v>945522.93754999992</v>
      </c>
      <c r="J6" s="22">
        <v>9512.4500000000007</v>
      </c>
      <c r="K6" s="22">
        <v>1038682.8867499999</v>
      </c>
      <c r="L6" s="22">
        <v>10363.25</v>
      </c>
      <c r="M6" s="22">
        <v>1380309.88625</v>
      </c>
      <c r="N6" s="22">
        <v>13863.75</v>
      </c>
      <c r="O6" s="22">
        <v>1343089.78675</v>
      </c>
      <c r="P6" s="22">
        <v>13463.25</v>
      </c>
    </row>
    <row r="7" spans="1:16">
      <c r="A7" s="18" t="s">
        <v>1826</v>
      </c>
      <c r="B7" s="19" t="s">
        <v>1832</v>
      </c>
      <c r="C7" s="52">
        <v>22691</v>
      </c>
      <c r="D7" s="20" t="s">
        <v>475</v>
      </c>
      <c r="E7" s="22">
        <v>1191312.06605</v>
      </c>
      <c r="F7" s="22">
        <v>11883.95</v>
      </c>
      <c r="G7" s="22">
        <v>542880.5340499999</v>
      </c>
      <c r="H7" s="22">
        <v>5415.95</v>
      </c>
      <c r="I7" s="22">
        <v>541304.17035000003</v>
      </c>
      <c r="J7" s="22">
        <v>5479.65</v>
      </c>
      <c r="K7" s="22">
        <v>941258.57200000004</v>
      </c>
      <c r="L7" s="22">
        <v>9428</v>
      </c>
      <c r="M7" s="22">
        <v>1669575.0882000001</v>
      </c>
      <c r="N7" s="22">
        <v>16711.8</v>
      </c>
      <c r="O7" s="22">
        <v>1374970.6555999999</v>
      </c>
      <c r="P7" s="22">
        <v>13744.4</v>
      </c>
    </row>
    <row r="8" spans="1:16">
      <c r="A8" s="18" t="s">
        <v>1826</v>
      </c>
      <c r="B8" s="19" t="s">
        <v>1833</v>
      </c>
      <c r="C8" s="52">
        <v>21378</v>
      </c>
      <c r="D8" s="20" t="s">
        <v>475</v>
      </c>
      <c r="E8" s="22">
        <v>1524491.3834500001</v>
      </c>
      <c r="F8" s="22">
        <v>15166.55</v>
      </c>
      <c r="G8" s="22">
        <v>1143963.8945499999</v>
      </c>
      <c r="H8" s="22">
        <v>11555.45</v>
      </c>
      <c r="I8" s="22">
        <v>2326287.6190500003</v>
      </c>
      <c r="J8" s="22">
        <v>23330.95</v>
      </c>
      <c r="K8" s="22">
        <v>1491221.2637999998</v>
      </c>
      <c r="L8" s="22">
        <v>14936.2</v>
      </c>
      <c r="M8" s="22">
        <v>2072221.3979</v>
      </c>
      <c r="N8" s="22">
        <v>20702.099999999999</v>
      </c>
      <c r="O8" s="22">
        <v>1978367.3928499999</v>
      </c>
      <c r="P8" s="22">
        <v>19757.150000000001</v>
      </c>
    </row>
    <row r="9" spans="1:16">
      <c r="A9" s="18" t="s">
        <v>1826</v>
      </c>
      <c r="B9" s="23" t="s">
        <v>1834</v>
      </c>
      <c r="C9" s="53">
        <v>21411</v>
      </c>
      <c r="D9" s="20" t="s">
        <v>474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</row>
    <row r="10" spans="1:16">
      <c r="A10" s="18" t="s">
        <v>1826</v>
      </c>
      <c r="B10" s="24" t="s">
        <v>1835</v>
      </c>
      <c r="C10" s="54">
        <v>25781</v>
      </c>
      <c r="D10" s="20" t="s">
        <v>475</v>
      </c>
      <c r="E10" s="22">
        <v>52087.601799999997</v>
      </c>
      <c r="F10" s="22">
        <v>598.20000000000005</v>
      </c>
      <c r="G10" s="22">
        <v>137964.84355000002</v>
      </c>
      <c r="H10" s="22">
        <v>1606.45</v>
      </c>
      <c r="I10" s="22">
        <v>426416.56814999995</v>
      </c>
      <c r="J10" s="22">
        <v>5281.85</v>
      </c>
      <c r="K10" s="22">
        <v>724241.57915000001</v>
      </c>
      <c r="L10" s="22">
        <v>9270.85</v>
      </c>
      <c r="M10" s="22">
        <v>734356.40395000007</v>
      </c>
      <c r="N10" s="22">
        <v>9646.0499999999993</v>
      </c>
      <c r="O10" s="22">
        <v>391714.56065</v>
      </c>
      <c r="P10" s="22">
        <v>4789.3500000000004</v>
      </c>
    </row>
    <row r="11" spans="1:16">
      <c r="A11" s="18" t="s">
        <v>1836</v>
      </c>
      <c r="B11" s="23" t="s">
        <v>1837</v>
      </c>
      <c r="C11" s="53">
        <v>15903</v>
      </c>
      <c r="D11" s="20" t="s">
        <v>474</v>
      </c>
      <c r="E11" s="22">
        <v>258116.00137499999</v>
      </c>
      <c r="F11" s="22">
        <v>2623.625</v>
      </c>
      <c r="G11" s="22">
        <v>244549.1434</v>
      </c>
      <c r="H11" s="22">
        <v>2456.6</v>
      </c>
      <c r="I11" s="22">
        <v>2676.4735000000001</v>
      </c>
      <c r="J11" s="22">
        <v>26.5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</row>
    <row r="12" spans="1:16">
      <c r="A12" s="18" t="s">
        <v>1836</v>
      </c>
      <c r="B12" s="23" t="s">
        <v>1838</v>
      </c>
      <c r="C12" s="53">
        <v>18057</v>
      </c>
      <c r="D12" s="20" t="s">
        <v>474</v>
      </c>
      <c r="E12" s="22">
        <v>10.0999</v>
      </c>
      <c r="F12" s="22">
        <v>0.1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</row>
    <row r="13" spans="1:16">
      <c r="A13" s="18" t="s">
        <v>1836</v>
      </c>
      <c r="B13" s="23" t="s">
        <v>1839</v>
      </c>
      <c r="C13" s="53">
        <v>20437</v>
      </c>
      <c r="D13" s="20" t="s">
        <v>474</v>
      </c>
      <c r="E13" s="22">
        <v>11151.7881</v>
      </c>
      <c r="F13" s="22">
        <v>111.9</v>
      </c>
      <c r="G13" s="22">
        <v>67412.476849999992</v>
      </c>
      <c r="H13" s="22">
        <v>673.15</v>
      </c>
      <c r="I13" s="22">
        <v>14341.858</v>
      </c>
      <c r="J13" s="22">
        <v>142</v>
      </c>
      <c r="K13" s="22">
        <v>7675.924</v>
      </c>
      <c r="L13" s="22">
        <v>76</v>
      </c>
      <c r="M13" s="22">
        <v>0</v>
      </c>
      <c r="N13" s="22">
        <v>0</v>
      </c>
      <c r="O13" s="22">
        <v>0</v>
      </c>
      <c r="P13" s="22">
        <v>0</v>
      </c>
    </row>
    <row r="14" spans="1:16">
      <c r="A14" s="18" t="s">
        <v>1836</v>
      </c>
      <c r="B14" s="19" t="s">
        <v>1840</v>
      </c>
      <c r="C14" s="52">
        <v>21299</v>
      </c>
      <c r="D14" s="20" t="s">
        <v>475</v>
      </c>
      <c r="E14" s="22">
        <v>326989.13754999998</v>
      </c>
      <c r="F14" s="22">
        <v>3312.45</v>
      </c>
      <c r="G14" s="22">
        <v>80449.639500000005</v>
      </c>
      <c r="H14" s="22">
        <v>860.5</v>
      </c>
      <c r="I14" s="22">
        <v>595495.56839999999</v>
      </c>
      <c r="J14" s="22">
        <v>6031.6</v>
      </c>
      <c r="K14" s="22">
        <v>400016.50939999998</v>
      </c>
      <c r="L14" s="22">
        <v>4090.6</v>
      </c>
      <c r="M14" s="22">
        <v>264633.61375000002</v>
      </c>
      <c r="N14" s="22">
        <v>2636.25</v>
      </c>
      <c r="O14" s="22">
        <v>586017.95614999998</v>
      </c>
      <c r="P14" s="22">
        <v>5893.85</v>
      </c>
    </row>
    <row r="15" spans="1:16">
      <c r="A15" s="18" t="s">
        <v>1836</v>
      </c>
      <c r="B15" s="19" t="s">
        <v>1841</v>
      </c>
      <c r="C15" s="52">
        <v>21300</v>
      </c>
      <c r="D15" s="20" t="s">
        <v>475</v>
      </c>
      <c r="E15" s="22">
        <v>435037.38819999999</v>
      </c>
      <c r="F15" s="22">
        <v>4411.8</v>
      </c>
      <c r="G15" s="22">
        <v>366725.21110000001</v>
      </c>
      <c r="H15" s="22">
        <v>3688.9</v>
      </c>
      <c r="I15" s="22">
        <v>535003.14150000003</v>
      </c>
      <c r="J15" s="22">
        <v>5358.5</v>
      </c>
      <c r="K15" s="22">
        <v>564848.26610000001</v>
      </c>
      <c r="L15" s="22">
        <v>5633.9</v>
      </c>
      <c r="M15" s="22">
        <v>665543.69964999997</v>
      </c>
      <c r="N15" s="22">
        <v>6650.35</v>
      </c>
      <c r="O15" s="22">
        <v>760236.67564999999</v>
      </c>
      <c r="P15" s="22">
        <v>7674.35</v>
      </c>
    </row>
    <row r="16" spans="1:16">
      <c r="A16" s="18" t="s">
        <v>1836</v>
      </c>
      <c r="B16" s="19" t="s">
        <v>1842</v>
      </c>
      <c r="C16" s="52">
        <v>21148</v>
      </c>
      <c r="D16" s="20" t="s">
        <v>475</v>
      </c>
      <c r="E16" s="22">
        <v>1046720.81875</v>
      </c>
      <c r="F16" s="22">
        <v>10431.25</v>
      </c>
      <c r="G16" s="22">
        <v>395983.84220000001</v>
      </c>
      <c r="H16" s="22">
        <v>3957.8</v>
      </c>
      <c r="I16" s="22">
        <v>955284.92554999993</v>
      </c>
      <c r="J16" s="22">
        <v>9524.4500000000007</v>
      </c>
      <c r="K16" s="22">
        <v>563471.09329999995</v>
      </c>
      <c r="L16" s="22">
        <v>5606.7</v>
      </c>
      <c r="M16" s="22">
        <v>756579.37304999994</v>
      </c>
      <c r="N16" s="22">
        <v>7576.95</v>
      </c>
      <c r="O16" s="22">
        <v>1256294.4031500001</v>
      </c>
      <c r="P16" s="22">
        <v>12446.85</v>
      </c>
    </row>
    <row r="17" spans="1:16">
      <c r="A17" s="18" t="s">
        <v>1836</v>
      </c>
      <c r="B17" s="19" t="s">
        <v>1843</v>
      </c>
      <c r="C17" s="52">
        <v>21147</v>
      </c>
      <c r="D17" s="20" t="s">
        <v>475</v>
      </c>
      <c r="E17" s="22">
        <v>829089.82185000007</v>
      </c>
      <c r="F17" s="22">
        <v>8328.15</v>
      </c>
      <c r="G17" s="22">
        <v>921713.1176</v>
      </c>
      <c r="H17" s="22">
        <v>9282.4</v>
      </c>
      <c r="I17" s="22">
        <v>1289250.5064999999</v>
      </c>
      <c r="J17" s="22">
        <v>12993.5</v>
      </c>
      <c r="K17" s="22">
        <v>806440.53129999992</v>
      </c>
      <c r="L17" s="22">
        <v>8168.7</v>
      </c>
      <c r="M17" s="22">
        <v>1370526.3197999999</v>
      </c>
      <c r="N17" s="22">
        <v>13880.2</v>
      </c>
      <c r="O17" s="22">
        <v>1363521.66445</v>
      </c>
      <c r="P17" s="22">
        <v>13885.55</v>
      </c>
    </row>
    <row r="18" spans="1:16">
      <c r="A18" s="18" t="s">
        <v>1836</v>
      </c>
      <c r="B18" s="19" t="s">
        <v>1843</v>
      </c>
      <c r="C18" s="52">
        <v>39996</v>
      </c>
      <c r="D18" s="20" t="s">
        <v>1828</v>
      </c>
      <c r="E18" s="22"/>
      <c r="F18" s="22"/>
      <c r="G18" s="22"/>
      <c r="H18" s="22"/>
      <c r="I18" s="22"/>
      <c r="J18" s="22"/>
      <c r="K18" s="22">
        <v>0</v>
      </c>
      <c r="L18" s="22">
        <v>0</v>
      </c>
      <c r="M18" s="22"/>
      <c r="N18" s="22"/>
      <c r="O18" s="22">
        <v>10298.901099999999</v>
      </c>
      <c r="P18" s="22">
        <v>98.9</v>
      </c>
    </row>
    <row r="19" spans="1:16">
      <c r="A19" s="18" t="s">
        <v>1836</v>
      </c>
      <c r="B19" s="25" t="s">
        <v>1844</v>
      </c>
      <c r="C19" s="55">
        <v>25873</v>
      </c>
      <c r="D19" s="20" t="s">
        <v>475</v>
      </c>
      <c r="E19" s="22">
        <v>608959.67425000004</v>
      </c>
      <c r="F19" s="22">
        <v>6075.75</v>
      </c>
      <c r="G19" s="22">
        <v>493048.11685000005</v>
      </c>
      <c r="H19" s="22">
        <v>5033.1499999999996</v>
      </c>
      <c r="I19" s="22">
        <v>426861.70400000003</v>
      </c>
      <c r="J19" s="22">
        <v>4296</v>
      </c>
      <c r="K19" s="22">
        <v>697438.29475</v>
      </c>
      <c r="L19" s="22">
        <v>6955.25</v>
      </c>
      <c r="M19" s="22">
        <v>950736.87360000005</v>
      </c>
      <c r="N19" s="22">
        <v>9526.4</v>
      </c>
      <c r="O19" s="22">
        <v>1158230.4479</v>
      </c>
      <c r="P19" s="22">
        <v>11652.1</v>
      </c>
    </row>
    <row r="20" spans="1:16">
      <c r="A20" s="18" t="s">
        <v>1845</v>
      </c>
      <c r="B20" s="19" t="s">
        <v>1846</v>
      </c>
      <c r="C20" s="52">
        <v>14996</v>
      </c>
      <c r="D20" s="20" t="s">
        <v>474</v>
      </c>
      <c r="E20" s="22">
        <v>803880.04189999995</v>
      </c>
      <c r="F20" s="22">
        <v>8058.1</v>
      </c>
      <c r="G20" s="22">
        <v>756371.65079999994</v>
      </c>
      <c r="H20" s="22">
        <v>7549.2</v>
      </c>
      <c r="I20" s="22">
        <v>1180248.47955</v>
      </c>
      <c r="J20" s="22">
        <v>11970.45</v>
      </c>
      <c r="K20" s="22">
        <v>716553.799</v>
      </c>
      <c r="L20" s="22">
        <v>7201</v>
      </c>
      <c r="M20" s="22">
        <v>606557.98595</v>
      </c>
      <c r="N20" s="22">
        <v>6064.05</v>
      </c>
      <c r="O20" s="22">
        <v>830863.16854999994</v>
      </c>
      <c r="P20" s="22">
        <v>8281.4500000000007</v>
      </c>
    </row>
    <row r="21" spans="1:16">
      <c r="A21" s="18" t="s">
        <v>1845</v>
      </c>
      <c r="B21" s="19" t="s">
        <v>1847</v>
      </c>
      <c r="C21" s="52">
        <v>15896</v>
      </c>
      <c r="D21" s="20" t="s">
        <v>474</v>
      </c>
      <c r="E21" s="22">
        <v>970772.26795000001</v>
      </c>
      <c r="F21" s="22">
        <v>9782.0499999999993</v>
      </c>
      <c r="G21" s="22">
        <v>714144.96789999993</v>
      </c>
      <c r="H21" s="22">
        <v>7132.1</v>
      </c>
      <c r="I21" s="22">
        <v>652462.10135000001</v>
      </c>
      <c r="J21" s="22">
        <v>6548.65</v>
      </c>
      <c r="K21" s="22">
        <v>613039.57424999995</v>
      </c>
      <c r="L21" s="22">
        <v>6175.75</v>
      </c>
      <c r="M21" s="22">
        <v>794529.05299999996</v>
      </c>
      <c r="N21" s="22">
        <v>7947</v>
      </c>
      <c r="O21" s="22">
        <v>688992.25085000007</v>
      </c>
      <c r="P21" s="22">
        <v>6899.15</v>
      </c>
    </row>
    <row r="22" spans="1:16">
      <c r="A22" s="18" t="s">
        <v>1845</v>
      </c>
      <c r="B22" s="19" t="s">
        <v>1848</v>
      </c>
      <c r="C22" s="52">
        <v>16336</v>
      </c>
      <c r="D22" s="20" t="s">
        <v>474</v>
      </c>
      <c r="E22" s="22">
        <v>1121417.6510999999</v>
      </c>
      <c r="F22" s="22">
        <v>11248.9</v>
      </c>
      <c r="G22" s="22">
        <v>1054561.0882999999</v>
      </c>
      <c r="H22" s="22">
        <v>10611.7</v>
      </c>
      <c r="I22" s="22">
        <v>1247906.50085</v>
      </c>
      <c r="J22" s="22">
        <v>12649.15</v>
      </c>
      <c r="K22" s="22">
        <v>913512.11864999996</v>
      </c>
      <c r="L22" s="22">
        <v>9231.35</v>
      </c>
      <c r="M22" s="22">
        <v>1349215.6408499999</v>
      </c>
      <c r="N22" s="22">
        <v>13509.15</v>
      </c>
      <c r="O22" s="22">
        <v>1003492.4574500001</v>
      </c>
      <c r="P22" s="22">
        <v>10092.549999999999</v>
      </c>
    </row>
    <row r="23" spans="1:16">
      <c r="A23" s="18" t="s">
        <v>1845</v>
      </c>
      <c r="B23" s="19" t="s">
        <v>1849</v>
      </c>
      <c r="C23" s="52">
        <v>18291</v>
      </c>
      <c r="D23" s="20" t="s">
        <v>474</v>
      </c>
      <c r="E23" s="22">
        <v>613018.07579999999</v>
      </c>
      <c r="F23" s="22">
        <v>6124.2</v>
      </c>
      <c r="G23" s="22">
        <v>576019.16504999995</v>
      </c>
      <c r="H23" s="22">
        <v>5784.95</v>
      </c>
      <c r="I23" s="22">
        <v>548221.17335000006</v>
      </c>
      <c r="J23" s="22">
        <v>5476.65</v>
      </c>
      <c r="K23" s="22">
        <v>415277.61819999997</v>
      </c>
      <c r="L23" s="22">
        <v>4181.8</v>
      </c>
      <c r="M23" s="22">
        <v>739954.50804999995</v>
      </c>
      <c r="N23" s="22">
        <v>7441.95</v>
      </c>
      <c r="O23" s="22">
        <v>515259.815</v>
      </c>
      <c r="P23" s="22">
        <v>5185</v>
      </c>
    </row>
    <row r="24" spans="1:16">
      <c r="A24" s="18" t="s">
        <v>1845</v>
      </c>
      <c r="B24" s="19" t="s">
        <v>1850</v>
      </c>
      <c r="C24" s="52">
        <v>21377</v>
      </c>
      <c r="D24" s="20" t="s">
        <v>475</v>
      </c>
      <c r="E24" s="22">
        <v>581960.22395000001</v>
      </c>
      <c r="F24" s="22">
        <v>5826.05</v>
      </c>
      <c r="G24" s="22">
        <v>719362.98974999995</v>
      </c>
      <c r="H24" s="22">
        <v>7260.25</v>
      </c>
      <c r="I24" s="22">
        <v>616563.48019999999</v>
      </c>
      <c r="J24" s="22">
        <v>6319.8</v>
      </c>
      <c r="K24" s="22">
        <v>325809.65705000004</v>
      </c>
      <c r="L24" s="22">
        <v>3292.95</v>
      </c>
      <c r="M24" s="22">
        <v>596149.90410000004</v>
      </c>
      <c r="N24" s="22">
        <v>5995.9</v>
      </c>
      <c r="O24" s="22">
        <v>596360.05395000009</v>
      </c>
      <c r="P24" s="22">
        <v>5996.05</v>
      </c>
    </row>
    <row r="25" spans="1:16">
      <c r="A25" s="18" t="s">
        <v>1845</v>
      </c>
      <c r="B25" s="19" t="s">
        <v>1851</v>
      </c>
      <c r="C25" s="52">
        <v>21375</v>
      </c>
      <c r="D25" s="20" t="s">
        <v>475</v>
      </c>
      <c r="E25" s="22">
        <v>1654457.8957</v>
      </c>
      <c r="F25" s="22">
        <v>16404.3</v>
      </c>
      <c r="G25" s="22">
        <v>1349422.08445</v>
      </c>
      <c r="H25" s="22">
        <v>13465.55</v>
      </c>
      <c r="I25" s="22">
        <v>1111769.8091500001</v>
      </c>
      <c r="J25" s="22">
        <v>11040.85</v>
      </c>
      <c r="K25" s="22">
        <v>835221.05064999999</v>
      </c>
      <c r="L25" s="22">
        <v>8299.35</v>
      </c>
      <c r="M25" s="22">
        <v>791355.20695000002</v>
      </c>
      <c r="N25" s="22">
        <v>7843.05</v>
      </c>
      <c r="O25" s="22">
        <v>828514.12764999992</v>
      </c>
      <c r="P25" s="22">
        <v>8222.35</v>
      </c>
    </row>
    <row r="26" spans="1:16">
      <c r="A26" s="18" t="s">
        <v>1845</v>
      </c>
      <c r="B26" s="19" t="s">
        <v>1850</v>
      </c>
      <c r="C26" s="52">
        <v>21376</v>
      </c>
      <c r="D26" s="20" t="s">
        <v>475</v>
      </c>
      <c r="E26" s="22">
        <v>2280567.6596999997</v>
      </c>
      <c r="F26" s="22">
        <v>22640.3</v>
      </c>
      <c r="G26" s="22">
        <v>2069942.7566500001</v>
      </c>
      <c r="H26" s="22">
        <v>20593.349999999999</v>
      </c>
      <c r="I26" s="22">
        <v>2421285.6502</v>
      </c>
      <c r="J26" s="22">
        <v>24149.8</v>
      </c>
      <c r="K26" s="22">
        <v>1196695.8122999999</v>
      </c>
      <c r="L26" s="22">
        <v>11887.7</v>
      </c>
      <c r="M26" s="22">
        <v>2482352.5727499998</v>
      </c>
      <c r="N26" s="22">
        <v>24677.25</v>
      </c>
      <c r="O26" s="22">
        <v>2856112.2393499999</v>
      </c>
      <c r="P26" s="22">
        <v>28410.65</v>
      </c>
    </row>
    <row r="27" spans="1:16">
      <c r="A27" s="18" t="s">
        <v>1845</v>
      </c>
      <c r="B27" s="19" t="s">
        <v>1852</v>
      </c>
      <c r="C27" s="54">
        <v>25729</v>
      </c>
      <c r="D27" s="20" t="s">
        <v>475</v>
      </c>
      <c r="E27" s="22">
        <v>808033.81814999995</v>
      </c>
      <c r="F27" s="22">
        <v>8031.85</v>
      </c>
      <c r="G27" s="22">
        <v>824999.60214999993</v>
      </c>
      <c r="H27" s="22">
        <v>8247.85</v>
      </c>
      <c r="I27" s="22">
        <v>1306076.1808</v>
      </c>
      <c r="J27" s="22">
        <v>13019.2</v>
      </c>
      <c r="K27" s="22">
        <v>608719.78414999996</v>
      </c>
      <c r="L27" s="22">
        <v>6065.85</v>
      </c>
      <c r="M27" s="22">
        <v>78953.445749999999</v>
      </c>
      <c r="N27" s="22">
        <v>804.25</v>
      </c>
      <c r="O27" s="22">
        <v>36490.938700000006</v>
      </c>
      <c r="P27" s="22">
        <v>361.3</v>
      </c>
    </row>
    <row r="28" spans="1:16">
      <c r="A28" s="18" t="s">
        <v>1845</v>
      </c>
      <c r="B28" s="19" t="s">
        <v>1853</v>
      </c>
      <c r="C28" s="56">
        <v>26393</v>
      </c>
      <c r="D28" s="20" t="s">
        <v>475</v>
      </c>
      <c r="E28" s="22">
        <v>1216624.23355</v>
      </c>
      <c r="F28" s="22">
        <v>12216.45</v>
      </c>
      <c r="G28" s="22">
        <v>914565.51529999997</v>
      </c>
      <c r="H28" s="22">
        <v>9184.7000000000007</v>
      </c>
      <c r="I28" s="22">
        <v>997472.19779999997</v>
      </c>
      <c r="J28" s="22">
        <v>10002.200000000001</v>
      </c>
      <c r="K28" s="22">
        <v>542076.35810000007</v>
      </c>
      <c r="L28" s="22">
        <v>5541.9</v>
      </c>
      <c r="M28" s="22">
        <v>763274.2781</v>
      </c>
      <c r="N28" s="22">
        <v>7621.9</v>
      </c>
      <c r="O28" s="22">
        <v>346439.00755000004</v>
      </c>
      <c r="P28" s="22">
        <v>3442.45</v>
      </c>
    </row>
    <row r="29" spans="1:16">
      <c r="A29" s="18" t="s">
        <v>1845</v>
      </c>
      <c r="B29" s="19" t="s">
        <v>1853</v>
      </c>
      <c r="C29" s="56">
        <v>39977</v>
      </c>
      <c r="D29" s="20" t="s">
        <v>1828</v>
      </c>
      <c r="E29" s="22"/>
      <c r="F29" s="22"/>
      <c r="G29" s="22"/>
      <c r="H29" s="22"/>
      <c r="I29" s="22"/>
      <c r="J29" s="22"/>
      <c r="K29" s="22">
        <v>0</v>
      </c>
      <c r="L29" s="22">
        <v>0</v>
      </c>
      <c r="M29" s="22"/>
      <c r="N29" s="22"/>
      <c r="O29" s="22">
        <v>0</v>
      </c>
      <c r="P29" s="22">
        <v>0</v>
      </c>
    </row>
    <row r="30" spans="1:16">
      <c r="A30" s="18" t="s">
        <v>1845</v>
      </c>
      <c r="B30" s="19" t="s">
        <v>1847</v>
      </c>
      <c r="C30" s="54">
        <v>27732</v>
      </c>
      <c r="D30" s="20" t="s">
        <v>475</v>
      </c>
      <c r="E30" s="22">
        <v>1319969.3474999999</v>
      </c>
      <c r="F30" s="22">
        <v>13152.5</v>
      </c>
      <c r="G30" s="22">
        <v>1395133.8022999999</v>
      </c>
      <c r="H30" s="22">
        <v>13897.7</v>
      </c>
      <c r="I30" s="22">
        <v>1190885.4127499999</v>
      </c>
      <c r="J30" s="22">
        <v>11837.25</v>
      </c>
      <c r="K30" s="22">
        <v>1178656.4019000002</v>
      </c>
      <c r="L30" s="22">
        <v>11698.1</v>
      </c>
      <c r="M30" s="22">
        <v>1804835.28675</v>
      </c>
      <c r="N30" s="22">
        <v>17963.25</v>
      </c>
      <c r="O30" s="22">
        <v>942785.1754500001</v>
      </c>
      <c r="P30" s="22">
        <v>9374.5499999999993</v>
      </c>
    </row>
    <row r="31" spans="1:16">
      <c r="A31" s="18" t="s">
        <v>1854</v>
      </c>
      <c r="B31" s="19" t="s">
        <v>1855</v>
      </c>
      <c r="C31" s="52">
        <v>25702</v>
      </c>
      <c r="D31" s="20" t="s">
        <v>475</v>
      </c>
      <c r="E31" s="22">
        <v>1690436.22685</v>
      </c>
      <c r="F31" s="22">
        <v>16923.150000000001</v>
      </c>
      <c r="G31" s="22">
        <v>1899701.9987999999</v>
      </c>
      <c r="H31" s="22">
        <v>19201.2</v>
      </c>
      <c r="I31" s="22">
        <v>2315736.75985</v>
      </c>
      <c r="J31" s="22">
        <v>23390.15</v>
      </c>
      <c r="K31" s="22">
        <v>1681526.4565999999</v>
      </c>
      <c r="L31" s="22">
        <v>16943.400000000001</v>
      </c>
      <c r="M31" s="22">
        <v>2284200.4166999999</v>
      </c>
      <c r="N31" s="22">
        <v>22883.3</v>
      </c>
      <c r="O31" s="22">
        <v>2176032.5157499998</v>
      </c>
      <c r="P31" s="22">
        <v>21734.25</v>
      </c>
    </row>
    <row r="32" spans="1:16">
      <c r="A32" s="18" t="s">
        <v>1854</v>
      </c>
      <c r="B32" s="23" t="s">
        <v>1856</v>
      </c>
      <c r="C32" s="53">
        <v>15874</v>
      </c>
      <c r="D32" s="20" t="s">
        <v>474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</row>
    <row r="33" spans="1:16">
      <c r="A33" s="18" t="s">
        <v>1854</v>
      </c>
      <c r="B33" s="23" t="s">
        <v>1857</v>
      </c>
      <c r="C33" s="53">
        <v>19037</v>
      </c>
      <c r="D33" s="20" t="s">
        <v>474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</row>
    <row r="34" spans="1:16">
      <c r="A34" s="18" t="s">
        <v>1854</v>
      </c>
      <c r="B34" s="19" t="s">
        <v>1858</v>
      </c>
      <c r="C34" s="52">
        <v>21272</v>
      </c>
      <c r="D34" s="20" t="s">
        <v>475</v>
      </c>
      <c r="E34" s="22">
        <v>1544737.79675</v>
      </c>
      <c r="F34" s="22">
        <v>15453.25</v>
      </c>
      <c r="G34" s="22">
        <v>1482547.7471500002</v>
      </c>
      <c r="H34" s="22">
        <v>15102.85</v>
      </c>
      <c r="I34" s="22">
        <v>1671396.41665</v>
      </c>
      <c r="J34" s="22">
        <v>16933.349999999999</v>
      </c>
      <c r="K34" s="22">
        <v>1297536.5503</v>
      </c>
      <c r="L34" s="22">
        <v>13149.7</v>
      </c>
      <c r="M34" s="22">
        <v>1999701.3784</v>
      </c>
      <c r="N34" s="22">
        <v>20221.599999999999</v>
      </c>
      <c r="O34" s="22">
        <v>1845696.0154500001</v>
      </c>
      <c r="P34" s="22">
        <v>18534.55</v>
      </c>
    </row>
    <row r="35" spans="1:16">
      <c r="A35" s="18" t="s">
        <v>1854</v>
      </c>
      <c r="B35" s="19" t="s">
        <v>1859</v>
      </c>
      <c r="C35" s="52">
        <v>39951</v>
      </c>
      <c r="D35" s="20" t="s">
        <v>1828</v>
      </c>
      <c r="E35" s="22"/>
      <c r="F35" s="22"/>
      <c r="G35" s="22"/>
      <c r="H35" s="22"/>
      <c r="I35" s="22"/>
      <c r="J35" s="22"/>
      <c r="K35" s="22">
        <v>0</v>
      </c>
      <c r="L35" s="22">
        <v>0</v>
      </c>
      <c r="M35" s="22"/>
      <c r="N35" s="22"/>
      <c r="O35" s="22">
        <v>17778.640600000002</v>
      </c>
      <c r="P35" s="22">
        <v>59.4</v>
      </c>
    </row>
    <row r="36" spans="1:16">
      <c r="A36" s="18" t="s">
        <v>1854</v>
      </c>
      <c r="B36" s="19" t="s">
        <v>1860</v>
      </c>
      <c r="C36" s="52">
        <v>21273</v>
      </c>
      <c r="D36" s="20" t="s">
        <v>475</v>
      </c>
      <c r="E36" s="22">
        <v>1539072.4920999999</v>
      </c>
      <c r="F36" s="22">
        <v>15407.9</v>
      </c>
      <c r="G36" s="22">
        <v>2971544.1060000001</v>
      </c>
      <c r="H36" s="22">
        <v>29894</v>
      </c>
      <c r="I36" s="22">
        <v>2738011.3409000002</v>
      </c>
      <c r="J36" s="22">
        <v>27759.1</v>
      </c>
      <c r="K36" s="22">
        <v>1761141.0712000001</v>
      </c>
      <c r="L36" s="22">
        <v>17728.8</v>
      </c>
      <c r="M36" s="22">
        <v>2391140.9249499999</v>
      </c>
      <c r="N36" s="22">
        <v>24125.05</v>
      </c>
      <c r="O36" s="22">
        <v>3713681.2113000001</v>
      </c>
      <c r="P36" s="22">
        <v>37488.699999999997</v>
      </c>
    </row>
    <row r="37" spans="1:16">
      <c r="A37" s="18" t="s">
        <v>1854</v>
      </c>
      <c r="B37" s="27" t="s">
        <v>1861</v>
      </c>
      <c r="C37" s="57">
        <v>15007</v>
      </c>
      <c r="D37" s="20" t="s">
        <v>474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</row>
    <row r="38" spans="1:16">
      <c r="A38" s="18" t="s">
        <v>1854</v>
      </c>
      <c r="B38" s="19" t="s">
        <v>1862</v>
      </c>
      <c r="C38" s="54">
        <v>29292</v>
      </c>
      <c r="D38" s="20" t="s">
        <v>475</v>
      </c>
      <c r="E38" s="22">
        <v>1785049.5923499998</v>
      </c>
      <c r="F38" s="22">
        <v>18057.650000000001</v>
      </c>
      <c r="G38" s="22">
        <v>2454713.7415</v>
      </c>
      <c r="H38" s="22">
        <v>24758.5</v>
      </c>
      <c r="I38" s="22">
        <v>1748510.4517999999</v>
      </c>
      <c r="J38" s="22">
        <v>17748.2</v>
      </c>
      <c r="K38" s="22">
        <v>1238897.4400499999</v>
      </c>
      <c r="L38" s="22">
        <v>12509.95</v>
      </c>
      <c r="M38" s="22">
        <v>2105196.9515999998</v>
      </c>
      <c r="N38" s="22">
        <v>21448.400000000001</v>
      </c>
      <c r="O38" s="22">
        <v>2144819.8785000001</v>
      </c>
      <c r="P38" s="22">
        <v>21621.5</v>
      </c>
    </row>
    <row r="39" spans="1:16">
      <c r="A39" s="18" t="s">
        <v>1854</v>
      </c>
      <c r="B39" s="19" t="s">
        <v>1863</v>
      </c>
      <c r="C39" s="54">
        <v>29293</v>
      </c>
      <c r="D39" s="20" t="s">
        <v>475</v>
      </c>
      <c r="E39" s="22">
        <v>119321.91684999999</v>
      </c>
      <c r="F39" s="22">
        <v>1233.1500000000001</v>
      </c>
      <c r="G39" s="22">
        <v>152235.85259999998</v>
      </c>
      <c r="H39" s="22">
        <v>1547.4</v>
      </c>
      <c r="I39" s="22">
        <v>173363.57465</v>
      </c>
      <c r="J39" s="22">
        <v>1775.35</v>
      </c>
      <c r="K39" s="22">
        <v>85654.954150000005</v>
      </c>
      <c r="L39" s="22">
        <v>895.85</v>
      </c>
      <c r="M39" s="22">
        <v>172168.24005000002</v>
      </c>
      <c r="N39" s="22">
        <v>1709.95</v>
      </c>
      <c r="O39" s="22">
        <v>174944.21405000001</v>
      </c>
      <c r="P39" s="22">
        <v>1735.95</v>
      </c>
    </row>
    <row r="40" spans="1:16">
      <c r="A40" s="18" t="s">
        <v>1864</v>
      </c>
      <c r="B40" s="23" t="s">
        <v>1834</v>
      </c>
      <c r="C40" s="53">
        <v>15042</v>
      </c>
      <c r="D40" s="20" t="s">
        <v>474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</row>
    <row r="41" spans="1:16">
      <c r="A41" s="18" t="s">
        <v>1864</v>
      </c>
      <c r="B41" s="19" t="s">
        <v>1865</v>
      </c>
      <c r="C41" s="52">
        <v>21627</v>
      </c>
      <c r="D41" s="20" t="s">
        <v>475</v>
      </c>
      <c r="E41" s="22">
        <v>1009593.7962000001</v>
      </c>
      <c r="F41" s="22">
        <v>10003.799999999999</v>
      </c>
      <c r="G41" s="22">
        <v>1153397.4110999999</v>
      </c>
      <c r="H41" s="22">
        <v>11488.9</v>
      </c>
      <c r="I41" s="22">
        <v>1214799.1686500001</v>
      </c>
      <c r="J41" s="22">
        <v>12181.35</v>
      </c>
      <c r="K41" s="22">
        <v>987145.60454999993</v>
      </c>
      <c r="L41" s="22">
        <v>9845.4500000000007</v>
      </c>
      <c r="M41" s="22">
        <v>684566.85635000002</v>
      </c>
      <c r="N41" s="22">
        <v>6793.65</v>
      </c>
      <c r="O41" s="22">
        <v>1171696.5118499999</v>
      </c>
      <c r="P41" s="22">
        <v>11638.15</v>
      </c>
    </row>
    <row r="42" spans="1:16">
      <c r="A42" s="18" t="s">
        <v>1864</v>
      </c>
      <c r="B42" s="19" t="s">
        <v>1843</v>
      </c>
      <c r="C42" s="52">
        <v>39841</v>
      </c>
      <c r="D42" s="20" t="s">
        <v>1828</v>
      </c>
      <c r="E42" s="22"/>
      <c r="F42" s="22"/>
      <c r="G42" s="22"/>
      <c r="H42" s="22"/>
      <c r="I42" s="22"/>
      <c r="J42" s="22"/>
      <c r="K42" s="22">
        <v>0</v>
      </c>
      <c r="L42" s="22">
        <v>0</v>
      </c>
      <c r="M42" s="22"/>
      <c r="N42" s="22"/>
      <c r="O42" s="22">
        <v>301807.98914999998</v>
      </c>
      <c r="P42" s="22">
        <v>2860.85</v>
      </c>
    </row>
    <row r="43" spans="1:16">
      <c r="A43" s="18" t="s">
        <v>1864</v>
      </c>
      <c r="B43" s="19" t="s">
        <v>1843</v>
      </c>
      <c r="C43" s="52">
        <v>39593</v>
      </c>
      <c r="D43" s="20" t="s">
        <v>1887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</row>
    <row r="44" spans="1:16">
      <c r="A44" s="18" t="s">
        <v>1864</v>
      </c>
      <c r="B44" s="19" t="s">
        <v>1866</v>
      </c>
      <c r="C44" s="52">
        <v>18158</v>
      </c>
      <c r="D44" s="20" t="s">
        <v>474</v>
      </c>
      <c r="E44" s="22">
        <v>264816.96039999998</v>
      </c>
      <c r="F44" s="22">
        <v>2639.6</v>
      </c>
      <c r="G44" s="22">
        <v>82184.045099999988</v>
      </c>
      <c r="H44" s="22">
        <v>854.9</v>
      </c>
      <c r="I44" s="22">
        <v>165036.0123</v>
      </c>
      <c r="J44" s="22">
        <v>1687.7</v>
      </c>
      <c r="K44" s="22">
        <v>129699.06955</v>
      </c>
      <c r="L44" s="22">
        <v>1380.45</v>
      </c>
      <c r="M44" s="22">
        <v>235912.15544999999</v>
      </c>
      <c r="N44" s="22">
        <v>2394.5500000000002</v>
      </c>
      <c r="O44" s="22">
        <v>186795.84224999999</v>
      </c>
      <c r="P44" s="22">
        <v>1907.75</v>
      </c>
    </row>
    <row r="45" spans="1:16">
      <c r="A45" s="18" t="s">
        <v>1864</v>
      </c>
      <c r="B45" s="23" t="s">
        <v>1867</v>
      </c>
      <c r="C45" s="53">
        <v>19192</v>
      </c>
      <c r="D45" s="20" t="s">
        <v>474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</row>
    <row r="46" spans="1:16">
      <c r="A46" s="18" t="s">
        <v>1864</v>
      </c>
      <c r="B46" s="23" t="s">
        <v>1868</v>
      </c>
      <c r="C46" s="53">
        <v>15046</v>
      </c>
      <c r="D46" s="20" t="s">
        <v>474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</row>
    <row r="47" spans="1:16">
      <c r="A47" s="18" t="s">
        <v>1864</v>
      </c>
      <c r="B47" s="19" t="s">
        <v>1869</v>
      </c>
      <c r="C47" s="52">
        <v>21403</v>
      </c>
      <c r="D47" s="20" t="s">
        <v>475</v>
      </c>
      <c r="E47" s="22">
        <v>835459.69185000006</v>
      </c>
      <c r="F47" s="22">
        <v>8458.15</v>
      </c>
      <c r="G47" s="22">
        <v>1536111.4530499999</v>
      </c>
      <c r="H47" s="22">
        <v>15496.95</v>
      </c>
      <c r="I47" s="22">
        <v>1227050.4671</v>
      </c>
      <c r="J47" s="22">
        <v>12432.9</v>
      </c>
      <c r="K47" s="22">
        <v>473981.78339999996</v>
      </c>
      <c r="L47" s="22">
        <v>4816.6000000000004</v>
      </c>
      <c r="M47" s="22">
        <v>949274.75560000003</v>
      </c>
      <c r="N47" s="22">
        <v>9644.4</v>
      </c>
      <c r="O47" s="22">
        <v>1448435.94955</v>
      </c>
      <c r="P47" s="22">
        <v>14500.45</v>
      </c>
    </row>
    <row r="48" spans="1:16">
      <c r="A48" s="18" t="s">
        <v>1864</v>
      </c>
      <c r="B48" s="24" t="s">
        <v>1870</v>
      </c>
      <c r="C48" s="54">
        <v>25741</v>
      </c>
      <c r="D48" s="20" t="s">
        <v>475</v>
      </c>
      <c r="E48" s="22">
        <v>1007275.15485</v>
      </c>
      <c r="F48" s="22">
        <v>9995.15</v>
      </c>
      <c r="G48" s="22">
        <v>1073983.67555</v>
      </c>
      <c r="H48" s="22">
        <v>10774.45</v>
      </c>
      <c r="I48" s="22">
        <v>1363426.8594000002</v>
      </c>
      <c r="J48" s="22">
        <v>13740.6</v>
      </c>
      <c r="K48" s="22">
        <v>1113606.0029000002</v>
      </c>
      <c r="L48" s="22">
        <v>11097.1</v>
      </c>
      <c r="M48" s="22">
        <v>1299414.8821500002</v>
      </c>
      <c r="N48" s="22">
        <v>12967.85</v>
      </c>
      <c r="O48" s="22">
        <v>1590788.8452999999</v>
      </c>
      <c r="P48" s="22">
        <v>15854.7</v>
      </c>
    </row>
    <row r="49" spans="1:16">
      <c r="A49" s="18" t="s">
        <v>1864</v>
      </c>
      <c r="B49" s="24" t="s">
        <v>1871</v>
      </c>
      <c r="C49" s="52">
        <v>25743</v>
      </c>
      <c r="D49" s="20" t="s">
        <v>475</v>
      </c>
      <c r="E49" s="22">
        <v>1031491.2385</v>
      </c>
      <c r="F49" s="22">
        <v>10261.5</v>
      </c>
      <c r="G49" s="22">
        <v>1321372.6542</v>
      </c>
      <c r="H49" s="22">
        <v>13145.8</v>
      </c>
      <c r="I49" s="22">
        <v>1602068.1659000001</v>
      </c>
      <c r="J49" s="22">
        <v>15934.1</v>
      </c>
      <c r="K49" s="22">
        <v>1951197.57305</v>
      </c>
      <c r="L49" s="22">
        <v>19376.95</v>
      </c>
      <c r="M49" s="22">
        <v>1609448.1159000001</v>
      </c>
      <c r="N49" s="22">
        <v>15984.1</v>
      </c>
      <c r="O49" s="22">
        <v>1934010.6600500001</v>
      </c>
      <c r="P49" s="22">
        <v>19289.95</v>
      </c>
    </row>
    <row r="50" spans="1:16">
      <c r="A50" s="18" t="s">
        <v>1872</v>
      </c>
      <c r="B50" s="19" t="s">
        <v>1873</v>
      </c>
      <c r="C50" s="55">
        <v>25712</v>
      </c>
      <c r="D50" s="20" t="s">
        <v>474</v>
      </c>
      <c r="E50" s="22">
        <v>1249411.945575</v>
      </c>
      <c r="F50" s="22">
        <v>12479.424999999999</v>
      </c>
      <c r="G50" s="22">
        <v>1620201.3323499998</v>
      </c>
      <c r="H50" s="22">
        <v>16317.65</v>
      </c>
      <c r="I50" s="22">
        <v>1833674.122425</v>
      </c>
      <c r="J50" s="22">
        <v>18452.575000000001</v>
      </c>
      <c r="K50" s="22">
        <v>121225.2885</v>
      </c>
      <c r="L50" s="22">
        <v>1211.5</v>
      </c>
      <c r="M50" s="22">
        <v>68144.994299999991</v>
      </c>
      <c r="N50" s="22">
        <v>705.7</v>
      </c>
      <c r="O50" s="22">
        <v>235546.39124999999</v>
      </c>
      <c r="P50" s="22">
        <v>2358.75</v>
      </c>
    </row>
    <row r="51" spans="1:16">
      <c r="A51" s="18" t="s">
        <v>1872</v>
      </c>
      <c r="B51" s="19" t="s">
        <v>1843</v>
      </c>
      <c r="C51" s="55">
        <v>40033</v>
      </c>
      <c r="D51" s="20" t="s">
        <v>1828</v>
      </c>
      <c r="E51" s="22"/>
      <c r="F51" s="22"/>
      <c r="G51" s="22"/>
      <c r="H51" s="22"/>
      <c r="I51" s="22"/>
      <c r="J51" s="22"/>
      <c r="K51" s="22">
        <v>0</v>
      </c>
      <c r="L51" s="22">
        <v>0</v>
      </c>
      <c r="M51" s="22"/>
      <c r="N51" s="22"/>
      <c r="O51" s="22">
        <v>0</v>
      </c>
      <c r="P51" s="22">
        <v>0</v>
      </c>
    </row>
    <row r="52" spans="1:16">
      <c r="A52" s="18" t="s">
        <v>1872</v>
      </c>
      <c r="B52" s="19" t="s">
        <v>1874</v>
      </c>
      <c r="C52" s="52">
        <v>15907</v>
      </c>
      <c r="D52" s="20" t="s">
        <v>475</v>
      </c>
      <c r="E52" s="22">
        <v>245460.57194999998</v>
      </c>
      <c r="F52" s="22">
        <v>2478.0500000000002</v>
      </c>
      <c r="G52" s="22">
        <v>221927.57019999999</v>
      </c>
      <c r="H52" s="22">
        <v>2229.8000000000002</v>
      </c>
      <c r="I52" s="22">
        <v>213316.91592500001</v>
      </c>
      <c r="J52" s="22">
        <v>2159.0749999999998</v>
      </c>
      <c r="K52" s="22">
        <v>203654.61332499998</v>
      </c>
      <c r="L52" s="22">
        <v>2061.6750000000002</v>
      </c>
      <c r="M52" s="22">
        <v>2307.8271500000001</v>
      </c>
      <c r="N52" s="22">
        <v>22.85</v>
      </c>
      <c r="O52" s="22">
        <v>4040.9589999999998</v>
      </c>
      <c r="P52" s="22">
        <v>41</v>
      </c>
    </row>
    <row r="53" spans="1:16">
      <c r="A53" s="18" t="s">
        <v>1872</v>
      </c>
      <c r="B53" s="19" t="s">
        <v>1875</v>
      </c>
      <c r="C53" s="52">
        <v>21354</v>
      </c>
      <c r="D53" s="20" t="s">
        <v>475</v>
      </c>
      <c r="E53" s="22">
        <v>46075.688849999999</v>
      </c>
      <c r="F53" s="22">
        <v>461.15</v>
      </c>
      <c r="G53" s="22">
        <v>88178.260849999991</v>
      </c>
      <c r="H53" s="22">
        <v>889.15</v>
      </c>
      <c r="I53" s="22">
        <v>142474.6839</v>
      </c>
      <c r="J53" s="22">
        <v>1416.1</v>
      </c>
      <c r="K53" s="22">
        <v>170669.10919999998</v>
      </c>
      <c r="L53" s="22">
        <v>1690.8</v>
      </c>
      <c r="M53" s="22">
        <v>151624.9485</v>
      </c>
      <c r="N53" s="22">
        <v>1551.5</v>
      </c>
      <c r="O53" s="22">
        <v>172436.03724999999</v>
      </c>
      <c r="P53" s="22">
        <v>1712.75</v>
      </c>
    </row>
    <row r="54" spans="1:16">
      <c r="A54" s="18" t="s">
        <v>1872</v>
      </c>
      <c r="B54" s="19" t="s">
        <v>1876</v>
      </c>
      <c r="C54" s="52">
        <v>21533</v>
      </c>
      <c r="D54" s="20" t="s">
        <v>475</v>
      </c>
      <c r="E54" s="22">
        <v>451577.53794999997</v>
      </c>
      <c r="F54" s="22">
        <v>4512.05</v>
      </c>
      <c r="G54" s="22">
        <v>581109.27992499992</v>
      </c>
      <c r="H54" s="22">
        <v>5795.0749999999998</v>
      </c>
      <c r="I54" s="22">
        <v>541360.30922499998</v>
      </c>
      <c r="J54" s="22">
        <v>5465.7749999999996</v>
      </c>
      <c r="K54" s="22">
        <v>646044.04449999996</v>
      </c>
      <c r="L54" s="22">
        <v>6455.5</v>
      </c>
      <c r="M54" s="22">
        <v>476913.71152499999</v>
      </c>
      <c r="N54" s="22">
        <v>4763.4750000000004</v>
      </c>
      <c r="O54" s="22">
        <v>610208.55535000004</v>
      </c>
      <c r="P54" s="22">
        <v>6094.65</v>
      </c>
    </row>
    <row r="55" spans="1:16">
      <c r="A55" s="18" t="s">
        <v>1872</v>
      </c>
      <c r="B55" s="19" t="s">
        <v>1877</v>
      </c>
      <c r="C55" s="52">
        <v>23658</v>
      </c>
      <c r="D55" s="20" t="s">
        <v>474</v>
      </c>
      <c r="E55" s="22">
        <v>1979006.6035</v>
      </c>
      <c r="F55" s="22">
        <v>19896.5</v>
      </c>
      <c r="G55" s="22">
        <v>1816980.4412499999</v>
      </c>
      <c r="H55" s="22">
        <v>18308.75</v>
      </c>
      <c r="I55" s="22">
        <v>3013223.56605</v>
      </c>
      <c r="J55" s="22">
        <v>30383.95</v>
      </c>
      <c r="K55" s="22">
        <v>2183412.0558500001</v>
      </c>
      <c r="L55" s="22">
        <v>22094.15</v>
      </c>
      <c r="M55" s="22">
        <v>1960471.7882999999</v>
      </c>
      <c r="N55" s="22">
        <v>19911.7</v>
      </c>
      <c r="O55" s="22">
        <v>2379070.7253999999</v>
      </c>
      <c r="P55" s="22">
        <v>23874.6</v>
      </c>
    </row>
    <row r="56" spans="1:16">
      <c r="A56" s="18" t="s">
        <v>1872</v>
      </c>
      <c r="B56" s="19" t="s">
        <v>1878</v>
      </c>
      <c r="C56" s="54">
        <v>15906</v>
      </c>
      <c r="D56" s="20" t="s">
        <v>475</v>
      </c>
      <c r="E56" s="22">
        <v>1088764.154875</v>
      </c>
      <c r="F56" s="22">
        <v>10970.125</v>
      </c>
      <c r="G56" s="22">
        <v>1085785.213925</v>
      </c>
      <c r="H56" s="22">
        <v>10861.075000000001</v>
      </c>
      <c r="I56" s="22">
        <v>1046544.295175</v>
      </c>
      <c r="J56" s="22">
        <v>10529.825000000001</v>
      </c>
      <c r="K56" s="22">
        <v>1106003.2106250001</v>
      </c>
      <c r="L56" s="22">
        <v>11164.375</v>
      </c>
      <c r="M56" s="22">
        <v>826830.07154999999</v>
      </c>
      <c r="N56" s="22">
        <v>8378.4500000000007</v>
      </c>
      <c r="O56" s="22">
        <v>629793.51012500003</v>
      </c>
      <c r="P56" s="22">
        <v>6364.875</v>
      </c>
    </row>
    <row r="57" spans="1:16">
      <c r="A57" s="18" t="s">
        <v>1879</v>
      </c>
      <c r="B57" s="23" t="s">
        <v>1834</v>
      </c>
      <c r="C57" s="53">
        <v>18153</v>
      </c>
      <c r="D57" s="20" t="s">
        <v>474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</row>
    <row r="58" spans="1:16">
      <c r="A58" s="18" t="s">
        <v>1879</v>
      </c>
      <c r="B58" s="23" t="s">
        <v>1834</v>
      </c>
      <c r="C58" s="53">
        <v>18154</v>
      </c>
      <c r="D58" s="20" t="s">
        <v>474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</row>
    <row r="59" spans="1:16">
      <c r="A59" s="18" t="s">
        <v>1879</v>
      </c>
      <c r="B59" s="19" t="s">
        <v>1880</v>
      </c>
      <c r="C59" s="52">
        <v>26088</v>
      </c>
      <c r="D59" s="20" t="s">
        <v>475</v>
      </c>
      <c r="E59" s="22">
        <v>1218371.686</v>
      </c>
      <c r="F59" s="22">
        <v>12314</v>
      </c>
      <c r="G59" s="22">
        <v>338379.86674999999</v>
      </c>
      <c r="H59" s="22">
        <v>3383.25</v>
      </c>
      <c r="I59" s="22">
        <v>1213798.29945</v>
      </c>
      <c r="J59" s="22">
        <v>12250.55</v>
      </c>
      <c r="K59" s="22">
        <v>642418.59490000003</v>
      </c>
      <c r="L59" s="22">
        <v>6505.1</v>
      </c>
      <c r="M59" s="22">
        <v>1065604.94435</v>
      </c>
      <c r="N59" s="22">
        <v>10705.65</v>
      </c>
      <c r="O59" s="22">
        <v>1016441.5581499999</v>
      </c>
      <c r="P59" s="22">
        <v>10291.85</v>
      </c>
    </row>
    <row r="60" spans="1:16">
      <c r="A60" s="18" t="s">
        <v>1879</v>
      </c>
      <c r="B60" s="19" t="s">
        <v>1651</v>
      </c>
      <c r="C60" s="52">
        <v>40148</v>
      </c>
      <c r="D60" s="20" t="s">
        <v>1887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</row>
    <row r="61" spans="1:16">
      <c r="A61" s="18" t="s">
        <v>1879</v>
      </c>
      <c r="B61" s="23" t="s">
        <v>1881</v>
      </c>
      <c r="C61" s="53">
        <v>23892</v>
      </c>
      <c r="D61" s="20" t="s">
        <v>474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</row>
    <row r="62" spans="1:16">
      <c r="A62" s="18" t="s">
        <v>1879</v>
      </c>
      <c r="B62" s="19" t="s">
        <v>1882</v>
      </c>
      <c r="C62" s="52">
        <v>21423</v>
      </c>
      <c r="D62" s="20" t="s">
        <v>475</v>
      </c>
      <c r="E62" s="22">
        <v>926881.92874999996</v>
      </c>
      <c r="F62" s="22">
        <v>9321.25</v>
      </c>
      <c r="G62" s="22">
        <v>778544.44775000005</v>
      </c>
      <c r="H62" s="22">
        <v>7802.25</v>
      </c>
      <c r="I62" s="22">
        <v>841877.33415000001</v>
      </c>
      <c r="J62" s="22">
        <v>8515.85</v>
      </c>
      <c r="K62" s="22">
        <v>474685.63959999999</v>
      </c>
      <c r="L62" s="22">
        <v>4760.3999999999996</v>
      </c>
      <c r="M62" s="22">
        <v>1243382.1753499999</v>
      </c>
      <c r="N62" s="22">
        <v>12474.65</v>
      </c>
      <c r="O62" s="22">
        <v>1025383.0766</v>
      </c>
      <c r="P62" s="22">
        <v>10323.4</v>
      </c>
    </row>
    <row r="63" spans="1:16">
      <c r="A63" s="18" t="s">
        <v>1879</v>
      </c>
      <c r="B63" s="19" t="s">
        <v>1883</v>
      </c>
      <c r="C63" s="52">
        <v>21424</v>
      </c>
      <c r="D63" s="20" t="s">
        <v>475</v>
      </c>
      <c r="E63" s="22">
        <v>747271.72085000004</v>
      </c>
      <c r="F63" s="22">
        <v>7429.15</v>
      </c>
      <c r="G63" s="22">
        <v>591026.33779999998</v>
      </c>
      <c r="H63" s="22">
        <v>5862.2</v>
      </c>
      <c r="I63" s="22">
        <v>839902.96864999994</v>
      </c>
      <c r="J63" s="22">
        <v>8381.35</v>
      </c>
      <c r="K63" s="22">
        <v>672760.22310000006</v>
      </c>
      <c r="L63" s="22">
        <v>6676.9</v>
      </c>
      <c r="M63" s="22">
        <v>1030444.4652999999</v>
      </c>
      <c r="N63" s="22">
        <v>10234.700000000001</v>
      </c>
      <c r="O63" s="22">
        <v>1210352.93505</v>
      </c>
      <c r="P63" s="22">
        <v>12014.95</v>
      </c>
    </row>
    <row r="64" spans="1:16">
      <c r="A64" s="18" t="s">
        <v>1879</v>
      </c>
      <c r="B64" s="19" t="s">
        <v>1883</v>
      </c>
      <c r="C64" s="52">
        <v>39964</v>
      </c>
      <c r="D64" s="20" t="s">
        <v>1828</v>
      </c>
      <c r="E64" s="22"/>
      <c r="F64" s="22"/>
      <c r="G64" s="22"/>
      <c r="H64" s="22"/>
      <c r="I64" s="22"/>
      <c r="J64" s="22"/>
      <c r="K64" s="22">
        <v>0</v>
      </c>
      <c r="L64" s="22">
        <v>0</v>
      </c>
      <c r="M64" s="22"/>
      <c r="N64" s="22"/>
      <c r="O64" s="22">
        <v>300</v>
      </c>
      <c r="P64" s="22">
        <v>0</v>
      </c>
    </row>
    <row r="65" spans="1:16">
      <c r="A65" s="18" t="s">
        <v>1879</v>
      </c>
      <c r="B65" s="19" t="s">
        <v>1843</v>
      </c>
      <c r="C65" s="52">
        <v>21425</v>
      </c>
      <c r="D65" s="20" t="s">
        <v>475</v>
      </c>
      <c r="E65" s="22">
        <v>400028.96705000004</v>
      </c>
      <c r="F65" s="22">
        <v>3982.95</v>
      </c>
      <c r="G65" s="22">
        <v>493494.64537500002</v>
      </c>
      <c r="H65" s="22">
        <v>4979.625</v>
      </c>
      <c r="I65" s="22">
        <v>527823.80570000003</v>
      </c>
      <c r="J65" s="22">
        <v>5494.3</v>
      </c>
      <c r="K65" s="22">
        <v>228918.11945</v>
      </c>
      <c r="L65" s="22">
        <v>2430.5500000000002</v>
      </c>
      <c r="M65" s="22">
        <v>83055.968200000003</v>
      </c>
      <c r="N65" s="22">
        <v>831.8</v>
      </c>
      <c r="O65" s="22">
        <v>0</v>
      </c>
      <c r="P65" s="22">
        <v>0</v>
      </c>
    </row>
    <row r="66" spans="1:16">
      <c r="A66" s="18" t="s">
        <v>1884</v>
      </c>
      <c r="B66" s="23" t="s">
        <v>1885</v>
      </c>
      <c r="C66" s="53">
        <v>13664</v>
      </c>
      <c r="D66" s="20" t="s">
        <v>474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</row>
    <row r="67" spans="1:16">
      <c r="A67" s="18" t="s">
        <v>1884</v>
      </c>
      <c r="B67" s="19" t="s">
        <v>1886</v>
      </c>
      <c r="C67" s="52">
        <v>39485</v>
      </c>
      <c r="D67" s="20" t="s">
        <v>1887</v>
      </c>
      <c r="E67" s="22"/>
      <c r="F67" s="22"/>
      <c r="G67" s="22"/>
      <c r="H67" s="22"/>
      <c r="I67" s="22"/>
      <c r="J67" s="22"/>
      <c r="K67" s="22">
        <v>0</v>
      </c>
      <c r="L67" s="22">
        <v>0</v>
      </c>
      <c r="M67" s="22"/>
      <c r="N67" s="22"/>
      <c r="O67" s="22">
        <v>230487.98990000002</v>
      </c>
      <c r="P67" s="22">
        <v>1710.1</v>
      </c>
    </row>
    <row r="68" spans="1:16">
      <c r="A68" s="18" t="s">
        <v>1884</v>
      </c>
      <c r="B68" s="19" t="s">
        <v>1886</v>
      </c>
      <c r="C68" s="52">
        <v>39556</v>
      </c>
      <c r="D68" s="20" t="s">
        <v>1828</v>
      </c>
      <c r="E68" s="22"/>
      <c r="F68" s="22"/>
      <c r="G68" s="22"/>
      <c r="H68" s="22"/>
      <c r="I68" s="22"/>
      <c r="J68" s="22"/>
      <c r="K68" s="22">
        <v>0</v>
      </c>
      <c r="L68" s="22">
        <v>0</v>
      </c>
      <c r="M68" s="22"/>
      <c r="N68" s="22"/>
      <c r="O68" s="22">
        <v>379810.75594999996</v>
      </c>
      <c r="P68" s="22">
        <v>3294.05</v>
      </c>
    </row>
    <row r="69" spans="1:16">
      <c r="A69" s="18" t="s">
        <v>1884</v>
      </c>
      <c r="B69" s="19" t="s">
        <v>1172</v>
      </c>
      <c r="C69" s="52">
        <v>39554</v>
      </c>
      <c r="D69" s="20" t="s">
        <v>1828</v>
      </c>
      <c r="E69" s="22"/>
      <c r="F69" s="22"/>
      <c r="G69" s="22"/>
      <c r="H69" s="22"/>
      <c r="I69" s="22"/>
      <c r="J69" s="22"/>
      <c r="K69" s="22">
        <v>0</v>
      </c>
      <c r="L69" s="22">
        <v>0</v>
      </c>
      <c r="M69" s="22"/>
      <c r="N69" s="22"/>
      <c r="O69" s="22">
        <v>317012.23369999998</v>
      </c>
      <c r="P69" s="22">
        <v>466.3</v>
      </c>
    </row>
    <row r="70" spans="1:16">
      <c r="A70" s="18" t="s">
        <v>1884</v>
      </c>
      <c r="B70" s="19" t="s">
        <v>1173</v>
      </c>
      <c r="C70" s="52">
        <v>39533</v>
      </c>
      <c r="D70" s="20" t="s">
        <v>1828</v>
      </c>
      <c r="E70" s="22"/>
      <c r="F70" s="22"/>
      <c r="G70" s="22"/>
      <c r="H70" s="22"/>
      <c r="I70" s="22"/>
      <c r="J70" s="22"/>
      <c r="K70" s="22">
        <v>0</v>
      </c>
      <c r="L70" s="22">
        <v>0</v>
      </c>
      <c r="M70" s="22"/>
      <c r="N70" s="22"/>
      <c r="O70" s="22">
        <v>1111046.7785999998</v>
      </c>
      <c r="P70" s="22">
        <v>521.4</v>
      </c>
    </row>
    <row r="71" spans="1:16">
      <c r="A71" s="18" t="s">
        <v>1884</v>
      </c>
      <c r="B71" s="19" t="s">
        <v>1888</v>
      </c>
      <c r="C71" s="52">
        <v>15867</v>
      </c>
      <c r="D71" s="20" t="s">
        <v>474</v>
      </c>
      <c r="E71" s="22">
        <v>181227.89105000001</v>
      </c>
      <c r="F71" s="22">
        <v>1058.95</v>
      </c>
      <c r="G71" s="22">
        <v>14042.057849999999</v>
      </c>
      <c r="H71" s="22">
        <v>92.15</v>
      </c>
      <c r="I71" s="22">
        <v>80283.785799999998</v>
      </c>
      <c r="J71" s="22">
        <v>414.2</v>
      </c>
      <c r="K71" s="22">
        <v>25001.068800000001</v>
      </c>
      <c r="L71" s="22">
        <v>131.19999999999999</v>
      </c>
      <c r="M71" s="22">
        <v>21799.2906</v>
      </c>
      <c r="N71" s="22">
        <v>109.4</v>
      </c>
      <c r="O71" s="22">
        <v>87006.003549999994</v>
      </c>
      <c r="P71" s="22">
        <v>446.45</v>
      </c>
    </row>
    <row r="72" spans="1:16">
      <c r="A72" s="18" t="s">
        <v>1884</v>
      </c>
      <c r="B72" s="19" t="s">
        <v>1177</v>
      </c>
      <c r="C72" s="52">
        <v>25689</v>
      </c>
      <c r="D72" s="20" t="s">
        <v>475</v>
      </c>
      <c r="E72" s="22">
        <v>585772.32164999994</v>
      </c>
      <c r="F72" s="22">
        <v>6028.35</v>
      </c>
      <c r="G72" s="22">
        <v>1023482.76675</v>
      </c>
      <c r="H72" s="22">
        <v>10483.25</v>
      </c>
      <c r="I72" s="22">
        <v>850297.13390000002</v>
      </c>
      <c r="J72" s="22">
        <v>8966.1</v>
      </c>
      <c r="K72" s="22">
        <v>752271.02124999999</v>
      </c>
      <c r="L72" s="22">
        <v>7728.75</v>
      </c>
      <c r="M72" s="22">
        <v>504310.64414999995</v>
      </c>
      <c r="N72" s="22">
        <v>5205.8500000000004</v>
      </c>
      <c r="O72" s="22">
        <v>14927.652199999999</v>
      </c>
      <c r="P72" s="22">
        <v>147.80000000000001</v>
      </c>
    </row>
    <row r="73" spans="1:16">
      <c r="A73" s="18" t="s">
        <v>1884</v>
      </c>
      <c r="B73" s="23" t="s">
        <v>1889</v>
      </c>
      <c r="C73" s="53">
        <v>18060</v>
      </c>
      <c r="D73" s="20" t="s">
        <v>474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</row>
    <row r="74" spans="1:16">
      <c r="A74" s="18" t="s">
        <v>1884</v>
      </c>
      <c r="B74" s="23" t="s">
        <v>1890</v>
      </c>
      <c r="C74" s="53">
        <v>19567</v>
      </c>
      <c r="D74" s="20" t="s">
        <v>474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</row>
    <row r="75" spans="1:16">
      <c r="A75" s="18" t="s">
        <v>1884</v>
      </c>
      <c r="B75" s="19" t="s">
        <v>1891</v>
      </c>
      <c r="C75" s="52">
        <v>21473</v>
      </c>
      <c r="D75" s="20" t="s">
        <v>475</v>
      </c>
      <c r="E75" s="22">
        <v>546098.57845000003</v>
      </c>
      <c r="F75" s="22">
        <v>2971.55</v>
      </c>
      <c r="G75" s="22">
        <v>154032.68644999998</v>
      </c>
      <c r="H75" s="22">
        <v>863.55</v>
      </c>
      <c r="I75" s="22">
        <v>539265.85120000003</v>
      </c>
      <c r="J75" s="22">
        <v>2948.8</v>
      </c>
      <c r="K75" s="22">
        <v>659742.60385000007</v>
      </c>
      <c r="L75" s="22">
        <v>3546.15</v>
      </c>
      <c r="M75" s="22">
        <v>496145.64175000001</v>
      </c>
      <c r="N75" s="22">
        <v>2608.25</v>
      </c>
      <c r="O75" s="22">
        <v>451086.37135000003</v>
      </c>
      <c r="P75" s="22">
        <v>2278.65</v>
      </c>
    </row>
    <row r="76" spans="1:16">
      <c r="A76" s="18" t="s">
        <v>1884</v>
      </c>
      <c r="B76" s="28" t="s">
        <v>1892</v>
      </c>
      <c r="C76" s="54">
        <v>23275</v>
      </c>
      <c r="D76" s="20" t="s">
        <v>475</v>
      </c>
      <c r="E76" s="22">
        <v>132851.31849999999</v>
      </c>
      <c r="F76" s="22">
        <v>181.5</v>
      </c>
      <c r="G76" s="22">
        <v>188220.58919999999</v>
      </c>
      <c r="H76" s="22">
        <v>210.8</v>
      </c>
      <c r="I76" s="22">
        <v>327792.2475</v>
      </c>
      <c r="J76" s="22">
        <v>252.5</v>
      </c>
      <c r="K76" s="22">
        <v>213882.06769999999</v>
      </c>
      <c r="L76" s="22">
        <v>232.3</v>
      </c>
      <c r="M76" s="22">
        <v>312762.77694999997</v>
      </c>
      <c r="N76" s="22">
        <v>273.05</v>
      </c>
      <c r="O76" s="22">
        <v>122513.9259</v>
      </c>
      <c r="P76" s="22">
        <v>174.1</v>
      </c>
    </row>
    <row r="77" spans="1:16">
      <c r="A77" s="18" t="s">
        <v>1884</v>
      </c>
      <c r="B77" s="28" t="s">
        <v>1893</v>
      </c>
      <c r="C77" s="54">
        <v>27540</v>
      </c>
      <c r="D77" s="20" t="s">
        <v>475</v>
      </c>
      <c r="E77" s="22">
        <v>344832.30729999999</v>
      </c>
      <c r="F77" s="22">
        <v>392.7</v>
      </c>
      <c r="G77" s="22">
        <v>268455.4743</v>
      </c>
      <c r="H77" s="22">
        <v>225.7</v>
      </c>
      <c r="I77" s="22">
        <v>638378.41084999999</v>
      </c>
      <c r="J77" s="22">
        <v>739.15</v>
      </c>
      <c r="K77" s="22">
        <v>297147.97175000003</v>
      </c>
      <c r="L77" s="22">
        <v>278.25</v>
      </c>
      <c r="M77" s="22">
        <v>613358.19145000004</v>
      </c>
      <c r="N77" s="22">
        <v>358.55</v>
      </c>
      <c r="O77" s="22">
        <v>180145.60425</v>
      </c>
      <c r="P77" s="22">
        <v>145.75</v>
      </c>
    </row>
    <row r="78" spans="1:16">
      <c r="A78" s="18" t="s">
        <v>1884</v>
      </c>
      <c r="B78" s="23" t="s">
        <v>1894</v>
      </c>
      <c r="C78" s="57">
        <v>28407</v>
      </c>
      <c r="D78" s="20" t="s">
        <v>474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</row>
    <row r="79" spans="1:16">
      <c r="A79" s="18" t="s">
        <v>1884</v>
      </c>
      <c r="B79" s="19" t="s">
        <v>1895</v>
      </c>
      <c r="C79" s="52">
        <v>35481</v>
      </c>
      <c r="D79" s="20" t="s">
        <v>475</v>
      </c>
      <c r="E79" s="22">
        <v>332501.55494999996</v>
      </c>
      <c r="F79" s="22">
        <v>3495.05</v>
      </c>
      <c r="G79" s="22">
        <v>379642.33380000002</v>
      </c>
      <c r="H79" s="22">
        <v>3866.2</v>
      </c>
      <c r="I79" s="22">
        <v>54215.034399999997</v>
      </c>
      <c r="J79" s="22">
        <v>565.6</v>
      </c>
      <c r="K79" s="22">
        <v>120558.93975000001</v>
      </c>
      <c r="L79" s="22">
        <v>1310.25</v>
      </c>
      <c r="M79" s="22">
        <v>171296.80134999999</v>
      </c>
      <c r="N79" s="22">
        <v>1848.65</v>
      </c>
      <c r="O79" s="22">
        <v>283513.19385000004</v>
      </c>
      <c r="P79" s="22">
        <v>2956.15</v>
      </c>
    </row>
    <row r="80" spans="1:16">
      <c r="A80" s="18" t="s">
        <v>1884</v>
      </c>
      <c r="B80" s="19" t="s">
        <v>1247</v>
      </c>
      <c r="C80" s="52">
        <v>39687</v>
      </c>
      <c r="D80" s="20" t="s">
        <v>1887</v>
      </c>
      <c r="E80" s="22"/>
      <c r="F80" s="22"/>
      <c r="G80" s="22"/>
      <c r="H80" s="22"/>
      <c r="I80" s="22"/>
      <c r="J80" s="22"/>
      <c r="K80" s="22">
        <v>0</v>
      </c>
      <c r="L80" s="22">
        <v>0</v>
      </c>
      <c r="M80" s="22"/>
      <c r="N80" s="22"/>
      <c r="O80" s="22">
        <v>0</v>
      </c>
      <c r="P80" s="22">
        <v>0</v>
      </c>
    </row>
    <row r="81" spans="1:16">
      <c r="A81" s="18" t="s">
        <v>1884</v>
      </c>
      <c r="B81" s="19" t="s">
        <v>1263</v>
      </c>
      <c r="C81" s="52">
        <v>39861</v>
      </c>
      <c r="D81" s="20" t="s">
        <v>475</v>
      </c>
      <c r="E81" s="22"/>
      <c r="F81" s="22"/>
      <c r="G81" s="22"/>
      <c r="H81" s="22"/>
      <c r="I81" s="22"/>
      <c r="J81" s="22"/>
      <c r="K81" s="22">
        <v>0</v>
      </c>
      <c r="L81" s="22">
        <v>0</v>
      </c>
      <c r="M81" s="22"/>
      <c r="N81" s="22"/>
      <c r="O81" s="22">
        <v>0</v>
      </c>
      <c r="P81" s="22">
        <v>0</v>
      </c>
    </row>
    <row r="82" spans="1:16">
      <c r="A82" s="18" t="s">
        <v>1884</v>
      </c>
      <c r="B82" s="19" t="s">
        <v>1263</v>
      </c>
      <c r="C82" s="52">
        <v>39259</v>
      </c>
      <c r="D82" s="20" t="s">
        <v>1887</v>
      </c>
      <c r="E82" s="22"/>
      <c r="F82" s="22"/>
      <c r="G82" s="22"/>
      <c r="H82" s="22"/>
      <c r="I82" s="22"/>
      <c r="J82" s="22"/>
      <c r="K82" s="22">
        <v>2552.1979000000001</v>
      </c>
      <c r="L82" s="22">
        <v>2.1</v>
      </c>
      <c r="M82" s="22"/>
      <c r="N82" s="22"/>
      <c r="O82" s="22">
        <v>0</v>
      </c>
      <c r="P82" s="22">
        <v>0</v>
      </c>
    </row>
    <row r="83" spans="1:16">
      <c r="A83" s="18" t="s">
        <v>1884</v>
      </c>
      <c r="B83" s="19" t="s">
        <v>1896</v>
      </c>
      <c r="C83" s="52">
        <v>39520</v>
      </c>
      <c r="D83" s="20" t="s">
        <v>1828</v>
      </c>
      <c r="E83" s="22"/>
      <c r="F83" s="22"/>
      <c r="G83" s="22"/>
      <c r="H83" s="22"/>
      <c r="I83" s="22"/>
      <c r="J83" s="22"/>
      <c r="K83" s="22">
        <v>0</v>
      </c>
      <c r="L83" s="22">
        <v>0</v>
      </c>
      <c r="M83" s="22"/>
      <c r="N83" s="22"/>
      <c r="O83" s="22">
        <v>0</v>
      </c>
      <c r="P83" s="22">
        <v>0</v>
      </c>
    </row>
    <row r="84" spans="1:16">
      <c r="A84" s="18" t="s">
        <v>1884</v>
      </c>
      <c r="B84" s="23" t="s">
        <v>1897</v>
      </c>
      <c r="C84" s="53">
        <v>34906</v>
      </c>
      <c r="D84" s="20" t="s">
        <v>475</v>
      </c>
      <c r="E84" s="22">
        <v>1041518.37095</v>
      </c>
      <c r="F84" s="22">
        <v>679.05</v>
      </c>
      <c r="G84" s="22">
        <v>788881.39809999999</v>
      </c>
      <c r="H84" s="22">
        <v>501.9</v>
      </c>
      <c r="I84" s="22">
        <v>1708571.4278499999</v>
      </c>
      <c r="J84" s="22">
        <v>722.15</v>
      </c>
      <c r="K84" s="22">
        <v>1162653.57595</v>
      </c>
      <c r="L84" s="22">
        <v>474.05</v>
      </c>
      <c r="M84" s="22">
        <v>883320.58915000001</v>
      </c>
      <c r="N84" s="22">
        <v>260.85000000000002</v>
      </c>
      <c r="O84" s="22">
        <v>0</v>
      </c>
      <c r="P84" s="22">
        <v>0</v>
      </c>
    </row>
    <row r="85" spans="1:16">
      <c r="A85" s="18" t="s">
        <v>1884</v>
      </c>
      <c r="B85" s="19" t="s">
        <v>1898</v>
      </c>
      <c r="C85" s="52">
        <v>25779</v>
      </c>
      <c r="D85" s="20" t="s">
        <v>475</v>
      </c>
      <c r="E85" s="22">
        <v>0</v>
      </c>
      <c r="F85" s="22">
        <v>0</v>
      </c>
      <c r="G85" s="22">
        <v>302375.8738</v>
      </c>
      <c r="H85" s="22">
        <v>326.2</v>
      </c>
      <c r="I85" s="22">
        <v>812044.90464999992</v>
      </c>
      <c r="J85" s="22">
        <v>445.35</v>
      </c>
      <c r="K85" s="22">
        <v>314954.52539999998</v>
      </c>
      <c r="L85" s="22">
        <v>74.599999999999994</v>
      </c>
      <c r="M85" s="22">
        <v>401254.57500000001</v>
      </c>
      <c r="N85" s="22">
        <v>425</v>
      </c>
      <c r="O85" s="22">
        <v>0</v>
      </c>
      <c r="P85" s="22">
        <v>0</v>
      </c>
    </row>
    <row r="86" spans="1:16">
      <c r="A86" s="18" t="s">
        <v>1884</v>
      </c>
      <c r="B86" s="19" t="s">
        <v>1899</v>
      </c>
      <c r="C86" s="52">
        <v>21381</v>
      </c>
      <c r="D86" s="20" t="s">
        <v>475</v>
      </c>
      <c r="E86" s="22">
        <v>0</v>
      </c>
      <c r="F86" s="22">
        <v>0</v>
      </c>
      <c r="G86" s="22">
        <v>186607.81155000001</v>
      </c>
      <c r="H86" s="22">
        <v>638.45000000000005</v>
      </c>
      <c r="I86" s="22">
        <v>359724.58480000001</v>
      </c>
      <c r="J86" s="22">
        <v>615.20000000000005</v>
      </c>
      <c r="K86" s="22">
        <v>270576.06349999999</v>
      </c>
      <c r="L86" s="22">
        <v>436.5</v>
      </c>
      <c r="M86" s="22">
        <v>161656.44330000001</v>
      </c>
      <c r="N86" s="22">
        <v>256.7</v>
      </c>
      <c r="O86" s="22">
        <v>0</v>
      </c>
      <c r="P86" s="22">
        <v>0</v>
      </c>
    </row>
    <row r="87" spans="1:16">
      <c r="A87" s="18" t="s">
        <v>1884</v>
      </c>
      <c r="B87" s="19" t="s">
        <v>1900</v>
      </c>
      <c r="C87" s="52">
        <v>28433</v>
      </c>
      <c r="D87" s="20" t="s">
        <v>475</v>
      </c>
      <c r="E87" s="22">
        <v>0</v>
      </c>
      <c r="F87" s="22">
        <v>0</v>
      </c>
      <c r="G87" s="29">
        <v>158680.0099</v>
      </c>
      <c r="H87" s="29">
        <v>90.1</v>
      </c>
      <c r="I87" s="29">
        <v>132521.4185</v>
      </c>
      <c r="J87" s="29">
        <v>81.5</v>
      </c>
      <c r="K87" s="29">
        <v>150659.07069999998</v>
      </c>
      <c r="L87" s="29">
        <v>229.3</v>
      </c>
      <c r="M87" s="29">
        <v>158925.8915</v>
      </c>
      <c r="N87" s="29">
        <v>108.5</v>
      </c>
      <c r="O87" s="29">
        <v>87638.930999999997</v>
      </c>
      <c r="P87" s="29">
        <v>69</v>
      </c>
    </row>
    <row r="88" spans="1:16">
      <c r="A88" s="18" t="s">
        <v>1884</v>
      </c>
      <c r="B88" s="19" t="s">
        <v>1901</v>
      </c>
      <c r="C88" s="52">
        <v>38032</v>
      </c>
      <c r="D88" s="20" t="s">
        <v>1828</v>
      </c>
      <c r="E88" s="22">
        <v>0</v>
      </c>
      <c r="F88" s="22">
        <v>0</v>
      </c>
      <c r="G88" s="29">
        <v>343993.89480000001</v>
      </c>
      <c r="H88" s="29">
        <v>405.2</v>
      </c>
      <c r="I88" s="29">
        <v>923182.68395000009</v>
      </c>
      <c r="J88" s="29">
        <v>466.05</v>
      </c>
      <c r="K88" s="29">
        <v>728156.96110000007</v>
      </c>
      <c r="L88" s="29">
        <v>438.9</v>
      </c>
      <c r="M88" s="29">
        <v>1324098.1216</v>
      </c>
      <c r="N88" s="29">
        <v>778.4</v>
      </c>
      <c r="O88" s="29">
        <v>1464928.9028</v>
      </c>
      <c r="P88" s="29">
        <v>1297.2</v>
      </c>
    </row>
    <row r="89" spans="1:16">
      <c r="A89" s="18" t="s">
        <v>1884</v>
      </c>
      <c r="B89" s="19" t="s">
        <v>1902</v>
      </c>
      <c r="C89" s="52">
        <v>38039</v>
      </c>
      <c r="D89" s="20" t="s">
        <v>1828</v>
      </c>
      <c r="E89" s="22">
        <v>0</v>
      </c>
      <c r="F89" s="22">
        <v>0</v>
      </c>
      <c r="G89" s="29">
        <v>138594.00830000002</v>
      </c>
      <c r="H89" s="29">
        <v>291.7</v>
      </c>
      <c r="I89" s="29">
        <v>382942.4461</v>
      </c>
      <c r="J89" s="29">
        <v>653.9</v>
      </c>
      <c r="K89" s="29">
        <v>152045.1409</v>
      </c>
      <c r="L89" s="29">
        <v>559.1</v>
      </c>
      <c r="M89" s="29">
        <v>336518.31960000005</v>
      </c>
      <c r="N89" s="29">
        <v>380.4</v>
      </c>
      <c r="O89" s="29">
        <v>372900.3456</v>
      </c>
      <c r="P89" s="29">
        <v>554.4</v>
      </c>
    </row>
    <row r="90" spans="1:16">
      <c r="A90" s="18" t="s">
        <v>1884</v>
      </c>
      <c r="B90" s="19" t="s">
        <v>1903</v>
      </c>
      <c r="C90" s="52">
        <v>39612</v>
      </c>
      <c r="D90" s="20" t="s">
        <v>1828</v>
      </c>
      <c r="E90" s="22"/>
      <c r="F90" s="22"/>
      <c r="G90" s="29"/>
      <c r="H90" s="29"/>
      <c r="I90" s="29"/>
      <c r="J90" s="29"/>
      <c r="K90" s="29">
        <v>0</v>
      </c>
      <c r="L90" s="29">
        <v>0</v>
      </c>
      <c r="M90" s="29"/>
      <c r="N90" s="29"/>
      <c r="O90" s="29">
        <v>293456.60014999995</v>
      </c>
      <c r="P90" s="29">
        <v>2849.85</v>
      </c>
    </row>
    <row r="91" spans="1:16">
      <c r="A91" s="18" t="s">
        <v>1884</v>
      </c>
      <c r="B91" s="19" t="s">
        <v>1183</v>
      </c>
      <c r="C91" s="52">
        <v>39552</v>
      </c>
      <c r="D91" s="20" t="s">
        <v>1828</v>
      </c>
      <c r="E91" s="22"/>
      <c r="F91" s="22"/>
      <c r="G91" s="29"/>
      <c r="H91" s="29"/>
      <c r="I91" s="29"/>
      <c r="J91" s="29"/>
      <c r="K91" s="29">
        <v>0</v>
      </c>
      <c r="L91" s="29">
        <v>0</v>
      </c>
      <c r="M91" s="29"/>
      <c r="N91" s="29"/>
      <c r="O91" s="29">
        <v>324088.82199999999</v>
      </c>
      <c r="P91" s="29">
        <v>178</v>
      </c>
    </row>
    <row r="92" spans="1:16">
      <c r="A92" s="18" t="s">
        <v>1884</v>
      </c>
      <c r="B92" s="19" t="s">
        <v>1904</v>
      </c>
      <c r="C92" s="52">
        <v>39610</v>
      </c>
      <c r="D92" s="20" t="s">
        <v>1887</v>
      </c>
      <c r="E92" s="22"/>
      <c r="F92" s="22"/>
      <c r="G92" s="29"/>
      <c r="H92" s="29"/>
      <c r="I92" s="29"/>
      <c r="J92" s="29"/>
      <c r="K92" s="29">
        <v>0</v>
      </c>
      <c r="L92" s="29">
        <v>0</v>
      </c>
      <c r="M92" s="29">
        <v>20913.426600000003</v>
      </c>
      <c r="N92" s="29">
        <v>73.400000000000006</v>
      </c>
      <c r="O92" s="29">
        <v>26419.270649999999</v>
      </c>
      <c r="P92" s="29">
        <v>79.349999999999994</v>
      </c>
    </row>
    <row r="93" spans="1:16">
      <c r="A93" s="18" t="s">
        <v>1884</v>
      </c>
      <c r="B93" s="19" t="s">
        <v>1177</v>
      </c>
      <c r="C93" s="52">
        <v>39601</v>
      </c>
      <c r="D93" s="20" t="s">
        <v>1887</v>
      </c>
      <c r="E93" s="22"/>
      <c r="F93" s="22"/>
      <c r="G93" s="29"/>
      <c r="H93" s="29"/>
      <c r="I93" s="29"/>
      <c r="J93" s="29"/>
      <c r="K93" s="29">
        <v>0</v>
      </c>
      <c r="L93" s="29">
        <v>0</v>
      </c>
      <c r="M93" s="29"/>
      <c r="N93" s="29"/>
      <c r="O93" s="29">
        <v>644.995</v>
      </c>
      <c r="P93" s="29">
        <v>5</v>
      </c>
    </row>
    <row r="94" spans="1:16">
      <c r="A94" s="18" t="s">
        <v>1884</v>
      </c>
      <c r="B94" s="23" t="s">
        <v>1905</v>
      </c>
      <c r="C94" s="53">
        <v>19292</v>
      </c>
      <c r="D94" s="20" t="s">
        <v>474</v>
      </c>
      <c r="E94" s="22">
        <v>0</v>
      </c>
      <c r="F94" s="22">
        <v>0</v>
      </c>
      <c r="G94" s="29">
        <v>0</v>
      </c>
      <c r="H94" s="29">
        <v>0</v>
      </c>
      <c r="I94" s="29">
        <v>0</v>
      </c>
      <c r="J94" s="29">
        <v>0</v>
      </c>
      <c r="K94" s="29">
        <v>0</v>
      </c>
      <c r="L94" s="29">
        <v>0</v>
      </c>
      <c r="M94" s="29">
        <v>0</v>
      </c>
      <c r="N94" s="29">
        <v>0</v>
      </c>
      <c r="O94" s="29">
        <v>0</v>
      </c>
      <c r="P94" s="29">
        <v>0</v>
      </c>
    </row>
    <row r="95" spans="1:16">
      <c r="A95" s="18" t="s">
        <v>1884</v>
      </c>
      <c r="B95" s="19" t="s">
        <v>1906</v>
      </c>
      <c r="C95" s="54">
        <v>33725</v>
      </c>
      <c r="D95" s="20" t="s">
        <v>475</v>
      </c>
      <c r="E95" s="22">
        <v>536390.96644999995</v>
      </c>
      <c r="F95" s="22">
        <v>2583.5500000000002</v>
      </c>
      <c r="G95" s="22">
        <v>733993.50575000001</v>
      </c>
      <c r="H95" s="22">
        <v>744.25</v>
      </c>
      <c r="I95" s="22">
        <v>643656.74245000002</v>
      </c>
      <c r="J95" s="22">
        <v>807.55</v>
      </c>
      <c r="K95" s="22">
        <v>625028.37095000001</v>
      </c>
      <c r="L95" s="22">
        <v>679.05</v>
      </c>
      <c r="M95" s="22">
        <v>314099.38024999999</v>
      </c>
      <c r="N95" s="22">
        <v>369.75</v>
      </c>
      <c r="O95" s="22">
        <v>404831.80785000004</v>
      </c>
      <c r="P95" s="22">
        <v>342.15</v>
      </c>
    </row>
    <row r="96" spans="1:16">
      <c r="A96" s="18" t="s">
        <v>1907</v>
      </c>
      <c r="B96" s="19" t="s">
        <v>1908</v>
      </c>
      <c r="C96" s="52">
        <v>15022</v>
      </c>
      <c r="D96" s="20" t="s">
        <v>474</v>
      </c>
      <c r="E96" s="22">
        <v>52264.714749999999</v>
      </c>
      <c r="F96" s="22">
        <v>535.25</v>
      </c>
      <c r="G96" s="22">
        <v>591293.26075000002</v>
      </c>
      <c r="H96" s="22">
        <v>5989.25</v>
      </c>
      <c r="I96" s="22">
        <v>825121.41020000004</v>
      </c>
      <c r="J96" s="22">
        <v>8389.7999999999993</v>
      </c>
      <c r="K96" s="22">
        <v>642464.75875000004</v>
      </c>
      <c r="L96" s="22">
        <v>6491.25</v>
      </c>
      <c r="M96" s="22">
        <v>660251.66165000002</v>
      </c>
      <c r="N96" s="22">
        <v>6688.35</v>
      </c>
      <c r="O96" s="22">
        <v>288507.04005000001</v>
      </c>
      <c r="P96" s="22">
        <v>2909.95</v>
      </c>
    </row>
    <row r="97" spans="1:16">
      <c r="A97" s="18" t="s">
        <v>1907</v>
      </c>
      <c r="B97" s="19" t="s">
        <v>1908</v>
      </c>
      <c r="C97" s="52">
        <v>39749</v>
      </c>
      <c r="D97" s="20" t="s">
        <v>1828</v>
      </c>
      <c r="E97" s="22"/>
      <c r="F97" s="22"/>
      <c r="G97" s="22"/>
      <c r="H97" s="22"/>
      <c r="I97" s="22"/>
      <c r="J97" s="22"/>
      <c r="K97" s="22">
        <v>0</v>
      </c>
      <c r="L97" s="22">
        <v>0</v>
      </c>
      <c r="M97" s="22"/>
      <c r="N97" s="22"/>
      <c r="O97" s="22">
        <v>437584.50110000005</v>
      </c>
      <c r="P97" s="22">
        <v>4398.8999999999996</v>
      </c>
    </row>
    <row r="98" spans="1:16">
      <c r="A98" s="18" t="s">
        <v>1907</v>
      </c>
      <c r="B98" s="19" t="s">
        <v>1909</v>
      </c>
      <c r="C98" s="52">
        <v>39743</v>
      </c>
      <c r="D98" s="20" t="s">
        <v>1828</v>
      </c>
      <c r="E98" s="22"/>
      <c r="F98" s="22"/>
      <c r="G98" s="22"/>
      <c r="H98" s="22"/>
      <c r="I98" s="22"/>
      <c r="J98" s="22"/>
      <c r="K98" s="22">
        <v>0</v>
      </c>
      <c r="L98" s="22">
        <v>0</v>
      </c>
      <c r="M98" s="22"/>
      <c r="N98" s="22"/>
      <c r="O98" s="22">
        <v>566581.88254999998</v>
      </c>
      <c r="P98" s="22">
        <v>5567.45</v>
      </c>
    </row>
    <row r="99" spans="1:16">
      <c r="A99" s="18" t="s">
        <v>1907</v>
      </c>
      <c r="B99" s="19" t="s">
        <v>1910</v>
      </c>
      <c r="C99" s="52">
        <v>16279</v>
      </c>
      <c r="D99" s="20" t="s">
        <v>474</v>
      </c>
      <c r="E99" s="22">
        <v>201510.09789999999</v>
      </c>
      <c r="F99" s="22">
        <v>2002.1</v>
      </c>
      <c r="G99" s="22">
        <v>299753.87815</v>
      </c>
      <c r="H99" s="22">
        <v>2971.85</v>
      </c>
      <c r="I99" s="22">
        <v>455356.85860000004</v>
      </c>
      <c r="J99" s="22">
        <v>4541.3999999999996</v>
      </c>
      <c r="K99" s="22">
        <v>189749.34875</v>
      </c>
      <c r="L99" s="22">
        <v>1901.25</v>
      </c>
      <c r="M99" s="22">
        <v>139053.86975000001</v>
      </c>
      <c r="N99" s="22">
        <v>1380.25</v>
      </c>
      <c r="O99" s="22">
        <v>273102.43485000002</v>
      </c>
      <c r="P99" s="22">
        <v>2715.15</v>
      </c>
    </row>
    <row r="100" spans="1:16">
      <c r="A100" s="18" t="s">
        <v>1907</v>
      </c>
      <c r="B100" s="23" t="s">
        <v>1911</v>
      </c>
      <c r="C100" s="53">
        <v>33313</v>
      </c>
      <c r="D100" s="20" t="s">
        <v>475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</row>
    <row r="101" spans="1:16">
      <c r="A101" s="18" t="s">
        <v>1907</v>
      </c>
      <c r="B101" s="19" t="s">
        <v>1912</v>
      </c>
      <c r="C101" s="52">
        <v>37852</v>
      </c>
      <c r="D101" s="20" t="s">
        <v>475</v>
      </c>
      <c r="E101" s="22">
        <v>0</v>
      </c>
      <c r="F101" s="22">
        <v>0</v>
      </c>
      <c r="G101" s="22">
        <v>0</v>
      </c>
      <c r="H101" s="22">
        <v>0</v>
      </c>
      <c r="I101" s="22">
        <v>214556.71109999999</v>
      </c>
      <c r="J101" s="22">
        <v>2188.9</v>
      </c>
      <c r="K101" s="22">
        <v>1044576.9127000001</v>
      </c>
      <c r="L101" s="22">
        <v>10387.299999999999</v>
      </c>
      <c r="M101" s="22">
        <v>1291031.3458499999</v>
      </c>
      <c r="N101" s="22">
        <v>12804.15</v>
      </c>
      <c r="O101" s="22">
        <v>1800146.98505</v>
      </c>
      <c r="P101" s="22">
        <v>17964.95</v>
      </c>
    </row>
    <row r="102" spans="1:16">
      <c r="A102" s="18" t="s">
        <v>1907</v>
      </c>
      <c r="B102" s="19" t="s">
        <v>1913</v>
      </c>
      <c r="C102" s="52">
        <v>31267</v>
      </c>
      <c r="D102" s="20" t="s">
        <v>475</v>
      </c>
      <c r="E102" s="21">
        <v>0</v>
      </c>
      <c r="F102" s="21">
        <v>0</v>
      </c>
      <c r="G102" s="22">
        <v>127499.9</v>
      </c>
      <c r="H102" s="22">
        <v>100</v>
      </c>
      <c r="I102" s="22">
        <v>168990.53925</v>
      </c>
      <c r="J102" s="22">
        <v>210.75</v>
      </c>
      <c r="K102" s="22">
        <v>103573.53640000001</v>
      </c>
      <c r="L102" s="22">
        <v>63.6</v>
      </c>
      <c r="M102" s="22">
        <v>579217.94195000001</v>
      </c>
      <c r="N102" s="22">
        <v>108.05</v>
      </c>
      <c r="O102" s="22">
        <v>681444.84490000003</v>
      </c>
      <c r="P102" s="22">
        <v>255.1</v>
      </c>
    </row>
    <row r="103" spans="1:16">
      <c r="A103" s="18" t="s">
        <v>1907</v>
      </c>
      <c r="B103" s="19" t="s">
        <v>1914</v>
      </c>
      <c r="C103" s="52">
        <v>18098</v>
      </c>
      <c r="D103" s="20" t="s">
        <v>474</v>
      </c>
      <c r="E103" s="22">
        <v>327982.38435000001</v>
      </c>
      <c r="F103" s="22">
        <v>3265.65</v>
      </c>
      <c r="G103" s="22">
        <v>398121.05994999997</v>
      </c>
      <c r="H103" s="22">
        <v>3990.05</v>
      </c>
      <c r="I103" s="22">
        <v>345645.80074999999</v>
      </c>
      <c r="J103" s="22">
        <v>3449.25</v>
      </c>
      <c r="K103" s="22">
        <v>262200.18219999998</v>
      </c>
      <c r="L103" s="22">
        <v>2617.8000000000002</v>
      </c>
      <c r="M103" s="22">
        <v>212441.54634999999</v>
      </c>
      <c r="N103" s="22">
        <v>2103.65</v>
      </c>
      <c r="O103" s="22">
        <v>106475.98790000001</v>
      </c>
      <c r="P103" s="22">
        <v>1112.0999999999999</v>
      </c>
    </row>
    <row r="104" spans="1:16">
      <c r="A104" s="18" t="s">
        <v>1907</v>
      </c>
      <c r="B104" s="23" t="s">
        <v>1915</v>
      </c>
      <c r="C104" s="53">
        <v>18095</v>
      </c>
      <c r="D104" s="20" t="s">
        <v>474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</row>
    <row r="105" spans="1:16">
      <c r="A105" s="18" t="s">
        <v>1907</v>
      </c>
      <c r="B105" s="19" t="s">
        <v>1916</v>
      </c>
      <c r="C105" s="52">
        <v>22374</v>
      </c>
      <c r="D105" s="20" t="s">
        <v>475</v>
      </c>
      <c r="E105" s="22">
        <v>188223.33480000001</v>
      </c>
      <c r="F105" s="22">
        <v>1865.2</v>
      </c>
      <c r="G105" s="22">
        <v>372668.21805000002</v>
      </c>
      <c r="H105" s="22">
        <v>3731.95</v>
      </c>
      <c r="I105" s="22">
        <v>278011.08614999999</v>
      </c>
      <c r="J105" s="22">
        <v>2763.85</v>
      </c>
      <c r="K105" s="22">
        <v>301997.35965</v>
      </c>
      <c r="L105" s="22">
        <v>2990.35</v>
      </c>
      <c r="M105" s="22">
        <v>143974.9736</v>
      </c>
      <c r="N105" s="22">
        <v>1426.4</v>
      </c>
      <c r="O105" s="22">
        <v>333296.94975000003</v>
      </c>
      <c r="P105" s="22">
        <v>3300.25</v>
      </c>
    </row>
    <row r="106" spans="1:16">
      <c r="A106" s="18" t="s">
        <v>1907</v>
      </c>
      <c r="B106" s="19" t="s">
        <v>1917</v>
      </c>
      <c r="C106" s="52">
        <v>29638</v>
      </c>
      <c r="D106" s="20" t="s">
        <v>475</v>
      </c>
      <c r="E106" s="22">
        <v>1947145.2750500001</v>
      </c>
      <c r="F106" s="22">
        <v>19674.95</v>
      </c>
      <c r="G106" s="22">
        <v>2201036.4312</v>
      </c>
      <c r="H106" s="22">
        <v>22368.799999999999</v>
      </c>
      <c r="I106" s="22">
        <v>2338887.2790000001</v>
      </c>
      <c r="J106" s="22">
        <v>23721</v>
      </c>
      <c r="K106" s="22">
        <v>2290055.9409499997</v>
      </c>
      <c r="L106" s="22">
        <v>23109.05</v>
      </c>
      <c r="M106" s="22">
        <v>2013658.5310499999</v>
      </c>
      <c r="N106" s="22">
        <v>20418.95</v>
      </c>
      <c r="O106" s="22">
        <v>1597896.5772500001</v>
      </c>
      <c r="P106" s="22">
        <v>16172.75</v>
      </c>
    </row>
    <row r="107" spans="1:16">
      <c r="A107" s="18" t="s">
        <v>1907</v>
      </c>
      <c r="B107" s="19" t="s">
        <v>1918</v>
      </c>
      <c r="C107" s="52">
        <v>29639</v>
      </c>
      <c r="D107" s="20" t="s">
        <v>475</v>
      </c>
      <c r="E107" s="22">
        <v>453912.66279999999</v>
      </c>
      <c r="F107" s="22">
        <v>4537.2</v>
      </c>
      <c r="G107" s="22">
        <v>1507250.98385</v>
      </c>
      <c r="H107" s="22">
        <v>15166.15</v>
      </c>
      <c r="I107" s="22">
        <v>987389.62049999996</v>
      </c>
      <c r="J107" s="22">
        <v>9879.5</v>
      </c>
      <c r="K107" s="22">
        <v>1548259.615</v>
      </c>
      <c r="L107" s="22">
        <v>15385</v>
      </c>
      <c r="M107" s="22">
        <v>1534847.6769999999</v>
      </c>
      <c r="N107" s="22">
        <v>15323</v>
      </c>
      <c r="O107" s="22">
        <v>1376453.0032000002</v>
      </c>
      <c r="P107" s="22">
        <v>13796.8</v>
      </c>
    </row>
    <row r="108" spans="1:16">
      <c r="A108" s="18" t="s">
        <v>1907</v>
      </c>
      <c r="B108" s="19" t="s">
        <v>1919</v>
      </c>
      <c r="C108" s="52">
        <v>26527</v>
      </c>
      <c r="D108" s="20" t="s">
        <v>475</v>
      </c>
      <c r="E108" s="22">
        <v>1275901.04605</v>
      </c>
      <c r="F108" s="22">
        <v>12903.95</v>
      </c>
      <c r="G108" s="22">
        <v>1877979.2917500001</v>
      </c>
      <c r="H108" s="22">
        <v>18958.25</v>
      </c>
      <c r="I108" s="22">
        <v>1793637.2945000001</v>
      </c>
      <c r="J108" s="22">
        <v>18205.5</v>
      </c>
      <c r="K108" s="22">
        <v>1919374.3960499999</v>
      </c>
      <c r="L108" s="22">
        <v>19553.95</v>
      </c>
      <c r="M108" s="22">
        <v>1525398.7657999999</v>
      </c>
      <c r="N108" s="22">
        <v>15434.2</v>
      </c>
      <c r="O108" s="22">
        <v>1841590.8804000001</v>
      </c>
      <c r="P108" s="22">
        <v>18719.599999999999</v>
      </c>
    </row>
    <row r="109" spans="1:16">
      <c r="A109" s="18" t="s">
        <v>1920</v>
      </c>
      <c r="B109" s="23" t="s">
        <v>1921</v>
      </c>
      <c r="C109" s="53">
        <v>15008</v>
      </c>
      <c r="D109" s="20" t="s">
        <v>474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</row>
    <row r="110" spans="1:16">
      <c r="A110" s="18" t="s">
        <v>1920</v>
      </c>
      <c r="B110" s="19" t="s">
        <v>1922</v>
      </c>
      <c r="C110" s="52">
        <v>15889</v>
      </c>
      <c r="D110" s="20" t="s">
        <v>474</v>
      </c>
      <c r="E110" s="22">
        <v>1914030.0007</v>
      </c>
      <c r="F110" s="22">
        <v>19299.3</v>
      </c>
      <c r="G110" s="22">
        <v>1335245.9107000001</v>
      </c>
      <c r="H110" s="22">
        <v>13389.3</v>
      </c>
      <c r="I110" s="22">
        <v>1929510.1805499999</v>
      </c>
      <c r="J110" s="22">
        <v>19269.45</v>
      </c>
      <c r="K110" s="22">
        <v>1445663.7618</v>
      </c>
      <c r="L110" s="22">
        <v>14438.2</v>
      </c>
      <c r="M110" s="22">
        <v>1257560.7567</v>
      </c>
      <c r="N110" s="22">
        <v>12543.3</v>
      </c>
      <c r="O110" s="22">
        <v>1050310.7887000002</v>
      </c>
      <c r="P110" s="22">
        <v>10511.3</v>
      </c>
    </row>
    <row r="111" spans="1:16">
      <c r="A111" s="18" t="s">
        <v>1920</v>
      </c>
      <c r="B111" s="19" t="s">
        <v>1922</v>
      </c>
      <c r="C111" s="52">
        <v>16939</v>
      </c>
      <c r="D111" s="20" t="s">
        <v>474</v>
      </c>
      <c r="E111" s="22">
        <v>1280918.0991</v>
      </c>
      <c r="F111" s="22">
        <v>12800.9</v>
      </c>
      <c r="G111" s="22">
        <v>1256091.7157000001</v>
      </c>
      <c r="H111" s="22">
        <v>12584.3</v>
      </c>
      <c r="I111" s="22">
        <v>2102949.3595500002</v>
      </c>
      <c r="J111" s="22">
        <v>21090.45</v>
      </c>
      <c r="K111" s="22">
        <v>1335098.7377500001</v>
      </c>
      <c r="L111" s="22">
        <v>13512.25</v>
      </c>
      <c r="M111" s="22">
        <v>1946914.1164500001</v>
      </c>
      <c r="N111" s="22">
        <v>19433.55</v>
      </c>
      <c r="O111" s="22">
        <v>1218411.6362000001</v>
      </c>
      <c r="P111" s="22">
        <v>12163.8</v>
      </c>
    </row>
    <row r="112" spans="1:16">
      <c r="A112" s="18" t="s">
        <v>1920</v>
      </c>
      <c r="B112" s="19" t="s">
        <v>1922</v>
      </c>
      <c r="C112" s="52">
        <v>40010</v>
      </c>
      <c r="D112" s="20" t="s">
        <v>1828</v>
      </c>
      <c r="E112" s="22"/>
      <c r="F112" s="22"/>
      <c r="G112" s="22"/>
      <c r="H112" s="22"/>
      <c r="I112" s="22"/>
      <c r="J112" s="22"/>
      <c r="K112" s="22">
        <v>0</v>
      </c>
      <c r="L112" s="22">
        <v>0</v>
      </c>
      <c r="M112" s="22"/>
      <c r="N112" s="22"/>
      <c r="O112" s="22">
        <v>0</v>
      </c>
      <c r="P112" s="22">
        <v>0</v>
      </c>
    </row>
    <row r="113" spans="1:16">
      <c r="A113" s="18" t="s">
        <v>1920</v>
      </c>
      <c r="B113" s="23" t="s">
        <v>1923</v>
      </c>
      <c r="C113" s="53">
        <v>18223</v>
      </c>
      <c r="D113" s="20" t="s">
        <v>474</v>
      </c>
      <c r="E113" s="22">
        <v>0</v>
      </c>
      <c r="F113" s="22">
        <v>0</v>
      </c>
      <c r="G113" s="22">
        <v>3534.9650000000001</v>
      </c>
      <c r="H113" s="22">
        <v>35</v>
      </c>
      <c r="I113" s="22">
        <v>21633.985800000002</v>
      </c>
      <c r="J113" s="22">
        <v>214.2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</row>
    <row r="114" spans="1:16">
      <c r="A114" s="18" t="s">
        <v>1920</v>
      </c>
      <c r="B114" s="23" t="s">
        <v>1924</v>
      </c>
      <c r="C114" s="53">
        <v>18516</v>
      </c>
      <c r="D114" s="20" t="s">
        <v>474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</row>
    <row r="115" spans="1:16">
      <c r="A115" s="18" t="s">
        <v>1920</v>
      </c>
      <c r="B115" s="19" t="s">
        <v>1925</v>
      </c>
      <c r="C115" s="52">
        <v>19730</v>
      </c>
      <c r="D115" s="20" t="s">
        <v>474</v>
      </c>
      <c r="E115" s="22">
        <v>661508.00540000002</v>
      </c>
      <c r="F115" s="22">
        <v>6594.6</v>
      </c>
      <c r="G115" s="22">
        <v>364501.03529999999</v>
      </c>
      <c r="H115" s="22">
        <v>3664.7</v>
      </c>
      <c r="I115" s="22">
        <v>735001.94070000004</v>
      </c>
      <c r="J115" s="22">
        <v>7359.3</v>
      </c>
      <c r="K115" s="22">
        <v>1339526.8097999999</v>
      </c>
      <c r="L115" s="22">
        <v>13390.2</v>
      </c>
      <c r="M115" s="22">
        <v>2158512.2561999997</v>
      </c>
      <c r="N115" s="22">
        <v>21543.8</v>
      </c>
      <c r="O115" s="22">
        <v>1386694.9312499999</v>
      </c>
      <c r="P115" s="22">
        <v>13818.75</v>
      </c>
    </row>
    <row r="116" spans="1:16">
      <c r="A116" s="18" t="s">
        <v>1920</v>
      </c>
      <c r="B116" s="19" t="s">
        <v>1926</v>
      </c>
      <c r="C116" s="52">
        <v>21965</v>
      </c>
      <c r="D116" s="20" t="s">
        <v>475</v>
      </c>
      <c r="E116" s="22">
        <v>2295304.6525500002</v>
      </c>
      <c r="F116" s="22">
        <v>22797.45</v>
      </c>
      <c r="G116" s="22">
        <v>1911613.10775</v>
      </c>
      <c r="H116" s="22">
        <v>19142.25</v>
      </c>
      <c r="I116" s="22">
        <v>3139750.5780000002</v>
      </c>
      <c r="J116" s="22">
        <v>31422</v>
      </c>
      <c r="K116" s="22">
        <v>3218535.0729</v>
      </c>
      <c r="L116" s="22">
        <v>32027.1</v>
      </c>
      <c r="M116" s="22">
        <v>3169779.8685500002</v>
      </c>
      <c r="N116" s="22">
        <v>31581.45</v>
      </c>
      <c r="O116" s="22">
        <v>3060902.9565999997</v>
      </c>
      <c r="P116" s="22">
        <v>30443.4</v>
      </c>
    </row>
    <row r="117" spans="1:16">
      <c r="A117" s="18" t="s">
        <v>1920</v>
      </c>
      <c r="B117" s="23" t="s">
        <v>1927</v>
      </c>
      <c r="C117" s="53">
        <v>21958</v>
      </c>
      <c r="D117" s="20" t="s">
        <v>475</v>
      </c>
      <c r="E117" s="22">
        <v>66697.361950000006</v>
      </c>
      <c r="F117" s="22">
        <v>688.05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</row>
    <row r="118" spans="1:16">
      <c r="A118" s="18" t="s">
        <v>1920</v>
      </c>
      <c r="B118" s="19" t="s">
        <v>1928</v>
      </c>
      <c r="C118" s="52">
        <v>22553</v>
      </c>
      <c r="D118" s="20" t="s">
        <v>475</v>
      </c>
      <c r="E118" s="22">
        <v>474481.10414999997</v>
      </c>
      <c r="F118" s="22">
        <v>4745.8500000000004</v>
      </c>
      <c r="G118" s="22">
        <v>0</v>
      </c>
      <c r="H118" s="22">
        <v>0</v>
      </c>
      <c r="I118" s="22">
        <v>24140.2595</v>
      </c>
      <c r="J118" s="22">
        <v>240.5</v>
      </c>
      <c r="K118" s="22">
        <v>64185.254099999998</v>
      </c>
      <c r="L118" s="22">
        <v>645.9</v>
      </c>
      <c r="M118" s="22">
        <v>298103.5135</v>
      </c>
      <c r="N118" s="22">
        <v>2986.5</v>
      </c>
      <c r="O118" s="22">
        <v>260933.54384999999</v>
      </c>
      <c r="P118" s="22">
        <v>2606.15</v>
      </c>
    </row>
    <row r="119" spans="1:16">
      <c r="A119" s="18" t="s">
        <v>1929</v>
      </c>
      <c r="B119" s="23" t="s">
        <v>1930</v>
      </c>
      <c r="C119" s="53">
        <v>15184</v>
      </c>
      <c r="D119" s="20" t="s">
        <v>474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</row>
    <row r="120" spans="1:16">
      <c r="A120" s="18" t="s">
        <v>1929</v>
      </c>
      <c r="B120" s="19" t="s">
        <v>1931</v>
      </c>
      <c r="C120" s="52">
        <v>34769</v>
      </c>
      <c r="D120" s="20" t="s">
        <v>475</v>
      </c>
      <c r="E120" s="22">
        <v>987525.11485000001</v>
      </c>
      <c r="F120" s="22">
        <v>10035.15</v>
      </c>
      <c r="G120" s="29">
        <v>1240297.2451500001</v>
      </c>
      <c r="H120" s="29">
        <v>12604.85</v>
      </c>
      <c r="I120" s="29">
        <v>1140056.381875</v>
      </c>
      <c r="J120" s="29">
        <v>11743.125</v>
      </c>
      <c r="K120" s="29">
        <v>1355452.2937999999</v>
      </c>
      <c r="L120" s="29">
        <v>13906.2</v>
      </c>
      <c r="M120" s="29">
        <v>810207.67389999994</v>
      </c>
      <c r="N120" s="29">
        <v>8426.1</v>
      </c>
      <c r="O120" s="29">
        <v>945116.54882500006</v>
      </c>
      <c r="P120" s="29">
        <v>9626.1749999999993</v>
      </c>
    </row>
    <row r="121" spans="1:16">
      <c r="A121" s="18" t="s">
        <v>1929</v>
      </c>
      <c r="B121" s="19" t="s">
        <v>1931</v>
      </c>
      <c r="C121" s="52">
        <v>40022</v>
      </c>
      <c r="D121" s="20" t="s">
        <v>1828</v>
      </c>
      <c r="E121" s="22"/>
      <c r="F121" s="22"/>
      <c r="G121" s="29"/>
      <c r="H121" s="29"/>
      <c r="I121" s="29"/>
      <c r="J121" s="29"/>
      <c r="K121" s="29">
        <v>0</v>
      </c>
      <c r="L121" s="29">
        <v>0</v>
      </c>
      <c r="M121" s="29"/>
      <c r="N121" s="29"/>
      <c r="O121" s="29">
        <v>0</v>
      </c>
      <c r="P121" s="29">
        <v>0</v>
      </c>
    </row>
    <row r="122" spans="1:16">
      <c r="A122" s="18" t="s">
        <v>1929</v>
      </c>
      <c r="B122" s="19" t="s">
        <v>1932</v>
      </c>
      <c r="C122" s="52">
        <v>18078</v>
      </c>
      <c r="D122" s="20" t="s">
        <v>474</v>
      </c>
      <c r="E122" s="22">
        <v>757901.54060000007</v>
      </c>
      <c r="F122" s="22">
        <v>7859.4</v>
      </c>
      <c r="G122" s="22">
        <v>672975.33779999998</v>
      </c>
      <c r="H122" s="22">
        <v>6862.2</v>
      </c>
      <c r="I122" s="22">
        <v>1245028.4785999998</v>
      </c>
      <c r="J122" s="22">
        <v>12921.4</v>
      </c>
      <c r="K122" s="22">
        <v>930631.58885000006</v>
      </c>
      <c r="L122" s="22">
        <v>9561.15</v>
      </c>
      <c r="M122" s="22">
        <v>749952.44984999998</v>
      </c>
      <c r="N122" s="22">
        <v>7700.15</v>
      </c>
      <c r="O122" s="22">
        <v>825745.66584999999</v>
      </c>
      <c r="P122" s="22">
        <v>8484.15</v>
      </c>
    </row>
    <row r="123" spans="1:16">
      <c r="A123" s="18" t="s">
        <v>1929</v>
      </c>
      <c r="B123" s="19" t="s">
        <v>1932</v>
      </c>
      <c r="C123" s="52">
        <v>29593</v>
      </c>
      <c r="D123" s="20" t="s">
        <v>475</v>
      </c>
      <c r="E123" s="22">
        <v>991917.36235000007</v>
      </c>
      <c r="F123" s="22">
        <v>10287.65</v>
      </c>
      <c r="G123" s="22">
        <v>1205665.51205</v>
      </c>
      <c r="H123" s="22">
        <v>12437.95</v>
      </c>
      <c r="I123" s="22">
        <v>1320100.62585</v>
      </c>
      <c r="J123" s="22">
        <v>13524.15</v>
      </c>
      <c r="K123" s="22">
        <v>1368182.70325</v>
      </c>
      <c r="L123" s="22">
        <v>14046.75</v>
      </c>
      <c r="M123" s="22">
        <v>1096646.2924500001</v>
      </c>
      <c r="N123" s="22">
        <v>11257.55</v>
      </c>
      <c r="O123" s="22">
        <v>982086.76320000004</v>
      </c>
      <c r="P123" s="22">
        <v>10036.799999999999</v>
      </c>
    </row>
    <row r="124" spans="1:16">
      <c r="A124" s="18" t="s">
        <v>1929</v>
      </c>
      <c r="B124" s="19" t="s">
        <v>1933</v>
      </c>
      <c r="C124" s="52">
        <v>34789</v>
      </c>
      <c r="D124" s="20" t="s">
        <v>475</v>
      </c>
      <c r="E124" s="22">
        <v>457371.25</v>
      </c>
      <c r="F124" s="22">
        <v>0</v>
      </c>
      <c r="G124" s="29">
        <v>850791.10025000002</v>
      </c>
      <c r="H124" s="29">
        <v>8649.75</v>
      </c>
      <c r="I124" s="29">
        <v>1069291.0179999999</v>
      </c>
      <c r="J124" s="29">
        <v>10982</v>
      </c>
      <c r="K124" s="29">
        <v>1210174.2831999999</v>
      </c>
      <c r="L124" s="29">
        <v>12516.8</v>
      </c>
      <c r="M124" s="29">
        <v>824626.35525000002</v>
      </c>
      <c r="N124" s="29">
        <v>8394.75</v>
      </c>
      <c r="O124" s="29">
        <v>887170.5504500001</v>
      </c>
      <c r="P124" s="29">
        <v>8999.5499999999993</v>
      </c>
    </row>
    <row r="125" spans="1:16">
      <c r="A125" s="18" t="s">
        <v>1929</v>
      </c>
      <c r="B125" s="19" t="s">
        <v>1934</v>
      </c>
      <c r="C125" s="52">
        <v>22293</v>
      </c>
      <c r="D125" s="20" t="s">
        <v>475</v>
      </c>
      <c r="E125" s="22">
        <v>771069.103</v>
      </c>
      <c r="F125" s="22">
        <v>7897</v>
      </c>
      <c r="G125" s="22">
        <v>1141883.6046</v>
      </c>
      <c r="H125" s="22">
        <v>11795.4</v>
      </c>
      <c r="I125" s="22">
        <v>1473222.54235</v>
      </c>
      <c r="J125" s="22">
        <v>15107.65</v>
      </c>
      <c r="K125" s="22">
        <v>1258224.6723499999</v>
      </c>
      <c r="L125" s="22">
        <v>12977.65</v>
      </c>
      <c r="M125" s="22">
        <v>1152202.0660999999</v>
      </c>
      <c r="N125" s="22">
        <v>11833.9</v>
      </c>
      <c r="O125" s="22">
        <v>1187260.9769000001</v>
      </c>
      <c r="P125" s="22">
        <v>12123.1</v>
      </c>
    </row>
    <row r="126" spans="1:16">
      <c r="A126" s="18" t="s">
        <v>1935</v>
      </c>
      <c r="B126" s="23" t="s">
        <v>1936</v>
      </c>
      <c r="C126" s="53">
        <v>14977</v>
      </c>
      <c r="D126" s="20" t="s">
        <v>474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</row>
    <row r="127" spans="1:16">
      <c r="A127" s="18" t="s">
        <v>1935</v>
      </c>
      <c r="B127" s="19" t="s">
        <v>1937</v>
      </c>
      <c r="C127" s="52">
        <v>15974</v>
      </c>
      <c r="D127" s="20" t="s">
        <v>474</v>
      </c>
      <c r="E127" s="22">
        <v>1155157.9355250001</v>
      </c>
      <c r="F127" s="22">
        <v>11539.475</v>
      </c>
      <c r="G127" s="22">
        <v>694521.72124999994</v>
      </c>
      <c r="H127" s="22">
        <v>7028.75</v>
      </c>
      <c r="I127" s="22">
        <v>601655.93799999997</v>
      </c>
      <c r="J127" s="22">
        <v>6062</v>
      </c>
      <c r="K127" s="22">
        <v>900417.37349999999</v>
      </c>
      <c r="L127" s="22">
        <v>9126.5</v>
      </c>
      <c r="M127" s="22">
        <v>796314.22774999996</v>
      </c>
      <c r="N127" s="22">
        <v>8022.25</v>
      </c>
      <c r="O127" s="22">
        <v>925989.45125000004</v>
      </c>
      <c r="P127" s="22">
        <v>9298.75</v>
      </c>
    </row>
    <row r="128" spans="1:16">
      <c r="A128" s="18" t="s">
        <v>1935</v>
      </c>
      <c r="B128" s="19" t="s">
        <v>1937</v>
      </c>
      <c r="C128" s="52">
        <v>39989</v>
      </c>
      <c r="D128" s="20" t="s">
        <v>1828</v>
      </c>
      <c r="E128" s="22"/>
      <c r="F128" s="22"/>
      <c r="G128" s="22"/>
      <c r="H128" s="22"/>
      <c r="I128" s="22"/>
      <c r="J128" s="22"/>
      <c r="K128" s="22">
        <v>0</v>
      </c>
      <c r="L128" s="22">
        <v>0</v>
      </c>
      <c r="M128" s="22"/>
      <c r="N128" s="22"/>
      <c r="O128" s="22">
        <v>0</v>
      </c>
      <c r="P128" s="22">
        <v>0</v>
      </c>
    </row>
    <row r="129" spans="1:16">
      <c r="A129" s="18" t="s">
        <v>1935</v>
      </c>
      <c r="B129" s="23" t="s">
        <v>1936</v>
      </c>
      <c r="C129" s="53">
        <v>18003</v>
      </c>
      <c r="D129" s="20" t="s">
        <v>474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</row>
    <row r="130" spans="1:16">
      <c r="A130" s="18" t="s">
        <v>1935</v>
      </c>
      <c r="B130" s="19" t="s">
        <v>1843</v>
      </c>
      <c r="C130" s="52">
        <v>21088</v>
      </c>
      <c r="D130" s="20" t="s">
        <v>475</v>
      </c>
      <c r="E130" s="22">
        <v>511826.99785000004</v>
      </c>
      <c r="F130" s="22">
        <v>5152.1499999999996</v>
      </c>
      <c r="G130" s="22">
        <v>242893.95360000001</v>
      </c>
      <c r="H130" s="22">
        <v>2446.4</v>
      </c>
      <c r="I130" s="22">
        <v>1587266.9069999999</v>
      </c>
      <c r="J130" s="22">
        <v>16093</v>
      </c>
      <c r="K130" s="22">
        <v>1261454.5127999999</v>
      </c>
      <c r="L130" s="22">
        <v>12687.2</v>
      </c>
      <c r="M130" s="22">
        <v>1216928.8489000001</v>
      </c>
      <c r="N130" s="22">
        <v>12251.1</v>
      </c>
      <c r="O130" s="22">
        <v>1810899.58225</v>
      </c>
      <c r="P130" s="22">
        <v>18167.75</v>
      </c>
    </row>
    <row r="131" spans="1:16">
      <c r="A131" s="18" t="s">
        <v>1935</v>
      </c>
      <c r="B131" s="19" t="s">
        <v>1938</v>
      </c>
      <c r="C131" s="52">
        <v>21087</v>
      </c>
      <c r="D131" s="20" t="s">
        <v>475</v>
      </c>
      <c r="E131" s="22">
        <v>1246611.74575</v>
      </c>
      <c r="F131" s="22">
        <v>12504.25</v>
      </c>
      <c r="G131" s="22">
        <v>556282.76170000003</v>
      </c>
      <c r="H131" s="22">
        <v>5538.3</v>
      </c>
      <c r="I131" s="22">
        <v>568665.45885000005</v>
      </c>
      <c r="J131" s="22">
        <v>5691.15</v>
      </c>
      <c r="K131" s="22">
        <v>1251457.3500999999</v>
      </c>
      <c r="L131" s="22">
        <v>12549.9</v>
      </c>
      <c r="M131" s="22">
        <v>1317793.09375</v>
      </c>
      <c r="N131" s="22">
        <v>13156.25</v>
      </c>
      <c r="O131" s="22">
        <v>1278638.0592</v>
      </c>
      <c r="P131" s="22">
        <v>12740.8</v>
      </c>
    </row>
    <row r="132" spans="1:16">
      <c r="A132" s="18" t="s">
        <v>1935</v>
      </c>
      <c r="B132" s="19" t="s">
        <v>1939</v>
      </c>
      <c r="C132" s="52">
        <v>25806</v>
      </c>
      <c r="D132" s="20" t="s">
        <v>475</v>
      </c>
      <c r="E132" s="22">
        <v>1266887.9994000001</v>
      </c>
      <c r="F132" s="22">
        <v>12600.6</v>
      </c>
      <c r="G132" s="22">
        <v>591178.86514999997</v>
      </c>
      <c r="H132" s="22">
        <v>5984.85</v>
      </c>
      <c r="I132" s="22">
        <v>1777105.7364000001</v>
      </c>
      <c r="J132" s="22">
        <v>17863.599999999999</v>
      </c>
      <c r="K132" s="22">
        <v>1660303.42</v>
      </c>
      <c r="L132" s="22">
        <v>16580</v>
      </c>
      <c r="M132" s="22">
        <v>1189355.26275</v>
      </c>
      <c r="N132" s="22">
        <v>11987.25</v>
      </c>
      <c r="O132" s="22">
        <v>1631318.2354000001</v>
      </c>
      <c r="P132" s="22">
        <v>16364.6</v>
      </c>
    </row>
    <row r="133" spans="1:16">
      <c r="A133" s="18" t="s">
        <v>1935</v>
      </c>
      <c r="B133" s="19" t="s">
        <v>1939</v>
      </c>
      <c r="C133" s="52">
        <v>21207</v>
      </c>
      <c r="D133" s="20" t="s">
        <v>475</v>
      </c>
      <c r="E133" s="22">
        <v>548001.35310000007</v>
      </c>
      <c r="F133" s="22">
        <v>5546.9</v>
      </c>
      <c r="G133" s="22">
        <v>535392.70185000007</v>
      </c>
      <c r="H133" s="22">
        <v>5448.15</v>
      </c>
      <c r="I133" s="22">
        <v>1243760.4270500001</v>
      </c>
      <c r="J133" s="22">
        <v>12522.95</v>
      </c>
      <c r="K133" s="22">
        <v>1239912.8048</v>
      </c>
      <c r="L133" s="22">
        <v>12395.2</v>
      </c>
      <c r="M133" s="22">
        <v>1093934.5045</v>
      </c>
      <c r="N133" s="22">
        <v>10995.5</v>
      </c>
      <c r="O133" s="22">
        <v>1085773.1059999999</v>
      </c>
      <c r="P133" s="22">
        <v>10894</v>
      </c>
    </row>
    <row r="134" spans="1:16">
      <c r="A134" s="18" t="s">
        <v>1884</v>
      </c>
      <c r="B134" s="23" t="s">
        <v>1940</v>
      </c>
      <c r="C134" s="53">
        <v>14974</v>
      </c>
      <c r="D134" s="20" t="s">
        <v>474</v>
      </c>
      <c r="E134" s="22">
        <v>332049.19750000001</v>
      </c>
      <c r="F134" s="22">
        <v>3302.5</v>
      </c>
      <c r="G134" s="22">
        <v>260280.76665000001</v>
      </c>
      <c r="H134" s="22">
        <v>2583.35</v>
      </c>
      <c r="I134" s="22">
        <v>319158.36845000001</v>
      </c>
      <c r="J134" s="22">
        <v>3181.55</v>
      </c>
      <c r="K134" s="22">
        <v>230020.1176</v>
      </c>
      <c r="L134" s="22">
        <v>2282.4</v>
      </c>
      <c r="M134" s="22">
        <v>0</v>
      </c>
      <c r="N134" s="22">
        <v>0</v>
      </c>
      <c r="O134" s="22">
        <v>0</v>
      </c>
      <c r="P134" s="22">
        <v>0</v>
      </c>
    </row>
    <row r="135" spans="1:16">
      <c r="A135" s="18" t="s">
        <v>1884</v>
      </c>
      <c r="B135" s="23" t="s">
        <v>1941</v>
      </c>
      <c r="C135" s="53">
        <v>21289</v>
      </c>
      <c r="D135" s="20" t="s">
        <v>475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</row>
    <row r="136" spans="1:16">
      <c r="A136" s="18" t="s">
        <v>1884</v>
      </c>
      <c r="B136" s="19" t="s">
        <v>1942</v>
      </c>
      <c r="C136" s="52">
        <v>21288</v>
      </c>
      <c r="D136" s="20" t="s">
        <v>475</v>
      </c>
      <c r="E136" s="22">
        <v>234333.2144</v>
      </c>
      <c r="F136" s="22">
        <v>2385.6</v>
      </c>
      <c r="G136" s="22">
        <v>201867.66030000002</v>
      </c>
      <c r="H136" s="22">
        <v>2039.7</v>
      </c>
      <c r="I136" s="22">
        <v>292860.93605000002</v>
      </c>
      <c r="J136" s="22">
        <v>3013.95</v>
      </c>
      <c r="K136" s="22">
        <v>275831.66555000003</v>
      </c>
      <c r="L136" s="22">
        <v>2784.45</v>
      </c>
      <c r="M136" s="22">
        <v>401584.0919</v>
      </c>
      <c r="N136" s="22">
        <v>4008.1</v>
      </c>
      <c r="O136" s="22">
        <v>542889.99459999998</v>
      </c>
      <c r="P136" s="22">
        <v>5405.4</v>
      </c>
    </row>
    <row r="137" spans="1:16">
      <c r="A137" s="18" t="s">
        <v>1884</v>
      </c>
      <c r="B137" s="27" t="s">
        <v>1943</v>
      </c>
      <c r="C137" s="57">
        <v>25715</v>
      </c>
      <c r="D137" s="20" t="s">
        <v>475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</row>
    <row r="138" spans="1:16">
      <c r="A138" s="18" t="s">
        <v>1944</v>
      </c>
      <c r="B138" s="19" t="s">
        <v>1945</v>
      </c>
      <c r="C138" s="52">
        <v>21268</v>
      </c>
      <c r="D138" s="20" t="s">
        <v>475</v>
      </c>
      <c r="E138" s="22">
        <v>2129793.1505249999</v>
      </c>
      <c r="F138" s="22">
        <v>21324.474999999999</v>
      </c>
      <c r="G138" s="22">
        <v>2218578.1497249999</v>
      </c>
      <c r="H138" s="22">
        <v>22125.275000000001</v>
      </c>
      <c r="I138" s="22">
        <v>2080592.3466500002</v>
      </c>
      <c r="J138" s="22">
        <v>21003.35</v>
      </c>
      <c r="K138" s="22">
        <v>2139951.10255</v>
      </c>
      <c r="L138" s="22">
        <v>21347.45</v>
      </c>
      <c r="M138" s="22">
        <v>2941231.91365</v>
      </c>
      <c r="N138" s="22">
        <v>29436.35</v>
      </c>
      <c r="O138" s="22">
        <v>2062625.15925</v>
      </c>
      <c r="P138" s="22">
        <v>20590.75</v>
      </c>
    </row>
    <row r="139" spans="1:16">
      <c r="A139" s="18" t="s">
        <v>1944</v>
      </c>
      <c r="B139" s="19" t="s">
        <v>1945</v>
      </c>
      <c r="C139" s="52">
        <v>40040</v>
      </c>
      <c r="D139" s="20" t="s">
        <v>1828</v>
      </c>
      <c r="E139" s="22"/>
      <c r="F139" s="22"/>
      <c r="G139" s="22"/>
      <c r="H139" s="22"/>
      <c r="I139" s="22"/>
      <c r="J139" s="22"/>
      <c r="K139" s="22">
        <v>0</v>
      </c>
      <c r="L139" s="22">
        <v>0</v>
      </c>
      <c r="M139" s="22"/>
      <c r="N139" s="22"/>
      <c r="O139" s="22">
        <v>0</v>
      </c>
      <c r="P139" s="22">
        <v>0</v>
      </c>
    </row>
    <row r="140" spans="1:16">
      <c r="A140" s="18" t="s">
        <v>1944</v>
      </c>
      <c r="B140" s="19" t="s">
        <v>1946</v>
      </c>
      <c r="C140" s="52">
        <v>25718</v>
      </c>
      <c r="D140" s="20" t="s">
        <v>475</v>
      </c>
      <c r="E140" s="22">
        <v>400833.55244999996</v>
      </c>
      <c r="F140" s="22">
        <v>3997.55</v>
      </c>
      <c r="G140" s="22">
        <v>254775.37205000001</v>
      </c>
      <c r="H140" s="22">
        <v>2577.9499999999998</v>
      </c>
      <c r="I140" s="22">
        <v>500535.25975000003</v>
      </c>
      <c r="J140" s="22">
        <v>4990.25</v>
      </c>
      <c r="K140" s="22">
        <v>335203.28330000001</v>
      </c>
      <c r="L140" s="22">
        <v>3416.7</v>
      </c>
      <c r="M140" s="22">
        <v>626686.6370499999</v>
      </c>
      <c r="N140" s="22">
        <v>6312.95</v>
      </c>
      <c r="O140" s="22">
        <v>728575.77695000009</v>
      </c>
      <c r="P140" s="22">
        <v>7273.05</v>
      </c>
    </row>
    <row r="141" spans="1:16">
      <c r="A141" s="18" t="s">
        <v>1944</v>
      </c>
      <c r="B141" s="23" t="s">
        <v>1947</v>
      </c>
      <c r="C141" s="53">
        <v>18106</v>
      </c>
      <c r="D141" s="20" t="s">
        <v>474</v>
      </c>
      <c r="E141" s="22">
        <v>263637.50984999997</v>
      </c>
      <c r="F141" s="22">
        <v>2640.15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</row>
    <row r="142" spans="1:16">
      <c r="A142" s="18" t="s">
        <v>1944</v>
      </c>
      <c r="B142" s="19" t="s">
        <v>1948</v>
      </c>
      <c r="C142" s="52">
        <v>21266</v>
      </c>
      <c r="D142" s="20" t="s">
        <v>475</v>
      </c>
      <c r="E142" s="22">
        <v>1766467.30495</v>
      </c>
      <c r="F142" s="22">
        <v>17745.05</v>
      </c>
      <c r="G142" s="22">
        <v>2382452.36375</v>
      </c>
      <c r="H142" s="22">
        <v>23886.25</v>
      </c>
      <c r="I142" s="22">
        <v>2957425.09515</v>
      </c>
      <c r="J142" s="22">
        <v>29754.85</v>
      </c>
      <c r="K142" s="22">
        <v>3301549.5874000001</v>
      </c>
      <c r="L142" s="22">
        <v>33012.6</v>
      </c>
      <c r="M142" s="22">
        <v>2885311.9191999999</v>
      </c>
      <c r="N142" s="22">
        <v>28880.799999999999</v>
      </c>
      <c r="O142" s="22">
        <v>2118640.3085499997</v>
      </c>
      <c r="P142" s="22">
        <v>21141.45</v>
      </c>
    </row>
    <row r="143" spans="1:16">
      <c r="A143" s="18" t="s">
        <v>1944</v>
      </c>
      <c r="B143" s="23" t="s">
        <v>1949</v>
      </c>
      <c r="C143" s="53">
        <v>18893</v>
      </c>
      <c r="D143" s="20" t="s">
        <v>474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</row>
    <row r="144" spans="1:16">
      <c r="A144" s="18" t="s">
        <v>1944</v>
      </c>
      <c r="B144" s="24" t="s">
        <v>1948</v>
      </c>
      <c r="C144" s="54">
        <v>25719</v>
      </c>
      <c r="D144" s="20" t="s">
        <v>475</v>
      </c>
      <c r="E144" s="22">
        <v>1915323.95695</v>
      </c>
      <c r="F144" s="22">
        <v>19093.05</v>
      </c>
      <c r="G144" s="22">
        <v>1232695.4421999999</v>
      </c>
      <c r="H144" s="22">
        <v>12357.8</v>
      </c>
      <c r="I144" s="22">
        <v>1522824.4102</v>
      </c>
      <c r="J144" s="22">
        <v>15389.8</v>
      </c>
      <c r="K144" s="22">
        <v>1206842.4654000001</v>
      </c>
      <c r="L144" s="22">
        <v>12134.6</v>
      </c>
      <c r="M144" s="22">
        <v>1468085.3599</v>
      </c>
      <c r="N144" s="22">
        <v>14740.1</v>
      </c>
      <c r="O144" s="22">
        <v>1277516.7605000001</v>
      </c>
      <c r="P144" s="22">
        <v>12739.5</v>
      </c>
    </row>
    <row r="145" spans="1:16">
      <c r="A145" s="18" t="s">
        <v>1944</v>
      </c>
      <c r="B145" s="19" t="s">
        <v>1946</v>
      </c>
      <c r="C145" s="54">
        <v>36442</v>
      </c>
      <c r="D145" s="20" t="s">
        <v>475</v>
      </c>
      <c r="E145" s="22">
        <v>106311.18775</v>
      </c>
      <c r="F145" s="22">
        <v>1062.25</v>
      </c>
      <c r="G145" s="22">
        <v>231497.76990000001</v>
      </c>
      <c r="H145" s="22">
        <v>2330.1</v>
      </c>
      <c r="I145" s="22">
        <v>484994.42070000002</v>
      </c>
      <c r="J145" s="22">
        <v>4879.3</v>
      </c>
      <c r="K145" s="22">
        <v>484233.36180000001</v>
      </c>
      <c r="L145" s="22">
        <v>4838.2</v>
      </c>
      <c r="M145" s="22">
        <v>469990.01530000003</v>
      </c>
      <c r="N145" s="22">
        <v>4684.7</v>
      </c>
      <c r="O145" s="22">
        <v>333306.34035000001</v>
      </c>
      <c r="P145" s="22">
        <v>3309.65</v>
      </c>
    </row>
    <row r="146" spans="1:16">
      <c r="A146" s="18" t="s">
        <v>1944</v>
      </c>
      <c r="B146" s="19" t="s">
        <v>1946</v>
      </c>
      <c r="C146" s="54">
        <v>36446</v>
      </c>
      <c r="D146" s="20" t="s">
        <v>475</v>
      </c>
      <c r="E146" s="22">
        <v>311021.78510000004</v>
      </c>
      <c r="F146" s="22">
        <v>3114.9</v>
      </c>
      <c r="G146" s="22">
        <v>424395.69</v>
      </c>
      <c r="H146" s="22">
        <v>4310</v>
      </c>
      <c r="I146" s="22">
        <v>362928.16820000001</v>
      </c>
      <c r="J146" s="22">
        <v>3631.8</v>
      </c>
      <c r="K146" s="22">
        <v>337466.34030000004</v>
      </c>
      <c r="L146" s="22">
        <v>3359.7</v>
      </c>
      <c r="M146" s="22">
        <v>681393.09005</v>
      </c>
      <c r="N146" s="22">
        <v>6859.95</v>
      </c>
      <c r="O146" s="22">
        <v>749609.55295000004</v>
      </c>
      <c r="P146" s="22">
        <v>7497.05</v>
      </c>
    </row>
    <row r="147" spans="1:16">
      <c r="A147" s="18" t="s">
        <v>1944</v>
      </c>
      <c r="B147" s="19" t="s">
        <v>1950</v>
      </c>
      <c r="C147" s="52">
        <v>18105</v>
      </c>
      <c r="D147" s="20" t="s">
        <v>474</v>
      </c>
      <c r="E147" s="22">
        <v>186379.19894999999</v>
      </c>
      <c r="F147" s="22">
        <v>1851.05</v>
      </c>
      <c r="G147" s="22">
        <v>90217.801299999992</v>
      </c>
      <c r="H147" s="22">
        <v>898.7</v>
      </c>
      <c r="I147" s="22">
        <v>177012.47575000001</v>
      </c>
      <c r="J147" s="22">
        <v>1774.25</v>
      </c>
      <c r="K147" s="22">
        <v>131687.22145000001</v>
      </c>
      <c r="L147" s="22">
        <v>1328.55</v>
      </c>
      <c r="M147" s="22">
        <v>84748.101049999997</v>
      </c>
      <c r="N147" s="22">
        <v>848.95</v>
      </c>
      <c r="O147" s="22">
        <v>167940.72759999998</v>
      </c>
      <c r="P147" s="22">
        <v>1672.4</v>
      </c>
    </row>
    <row r="148" spans="1:16">
      <c r="A148" s="18" t="s">
        <v>1944</v>
      </c>
      <c r="B148" s="19" t="s">
        <v>1951</v>
      </c>
      <c r="C148" s="52">
        <v>36031</v>
      </c>
      <c r="D148" s="20" t="s">
        <v>475</v>
      </c>
      <c r="E148" s="22">
        <v>18644.415399999998</v>
      </c>
      <c r="F148" s="22">
        <v>184.6</v>
      </c>
      <c r="G148" s="22">
        <v>196305.65239999999</v>
      </c>
      <c r="H148" s="22">
        <v>1947.6</v>
      </c>
      <c r="I148" s="22">
        <v>304513.15380000003</v>
      </c>
      <c r="J148" s="22">
        <v>3046.2</v>
      </c>
      <c r="K148" s="22">
        <v>50389.899600000004</v>
      </c>
      <c r="L148" s="22">
        <v>500.4</v>
      </c>
      <c r="M148" s="22">
        <v>295411.97510000004</v>
      </c>
      <c r="N148" s="22">
        <v>2924.9</v>
      </c>
      <c r="O148" s="22">
        <v>590980.93320000009</v>
      </c>
      <c r="P148" s="22">
        <v>5866.8</v>
      </c>
    </row>
    <row r="149" spans="1:16">
      <c r="A149" s="18" t="s">
        <v>1952</v>
      </c>
      <c r="B149" s="19" t="s">
        <v>1953</v>
      </c>
      <c r="C149" s="52">
        <v>22015</v>
      </c>
      <c r="D149" s="20" t="s">
        <v>475</v>
      </c>
      <c r="E149" s="22">
        <v>2010118.681175</v>
      </c>
      <c r="F149" s="22">
        <v>20143.825000000001</v>
      </c>
      <c r="G149" s="22">
        <v>1317836.7250999999</v>
      </c>
      <c r="H149" s="22">
        <v>13174.9</v>
      </c>
      <c r="I149" s="22">
        <v>1985141.1640000001</v>
      </c>
      <c r="J149" s="22">
        <v>19836</v>
      </c>
      <c r="K149" s="22">
        <v>1727810.856925</v>
      </c>
      <c r="L149" s="22">
        <v>17218.075000000001</v>
      </c>
      <c r="M149" s="22">
        <v>1419576.3894749999</v>
      </c>
      <c r="N149" s="22">
        <v>14135.525</v>
      </c>
      <c r="O149" s="22">
        <v>1173336.9512999998</v>
      </c>
      <c r="P149" s="22">
        <v>11748.7</v>
      </c>
    </row>
    <row r="150" spans="1:16">
      <c r="A150" s="18" t="s">
        <v>1952</v>
      </c>
      <c r="B150" s="19" t="s">
        <v>1953</v>
      </c>
      <c r="C150" s="52">
        <v>39957</v>
      </c>
      <c r="D150" s="20" t="s">
        <v>1828</v>
      </c>
      <c r="E150" s="22"/>
      <c r="F150" s="22"/>
      <c r="G150" s="22"/>
      <c r="H150" s="22"/>
      <c r="I150" s="22"/>
      <c r="J150" s="22"/>
      <c r="K150" s="22">
        <v>0</v>
      </c>
      <c r="L150" s="22">
        <v>0</v>
      </c>
      <c r="M150" s="22"/>
      <c r="N150" s="22"/>
      <c r="O150" s="22">
        <v>0</v>
      </c>
      <c r="P150" s="22">
        <v>0</v>
      </c>
    </row>
    <row r="151" spans="1:16">
      <c r="A151" s="18" t="s">
        <v>1952</v>
      </c>
      <c r="B151" s="19" t="s">
        <v>1954</v>
      </c>
      <c r="C151" s="52">
        <v>18375</v>
      </c>
      <c r="D151" s="20" t="s">
        <v>474</v>
      </c>
      <c r="E151" s="22">
        <v>374134.01225000003</v>
      </c>
      <c r="F151" s="22">
        <v>3737.75</v>
      </c>
      <c r="G151" s="22">
        <v>295830.76624999999</v>
      </c>
      <c r="H151" s="22">
        <v>2983.75</v>
      </c>
      <c r="I151" s="22">
        <v>560066.37800000003</v>
      </c>
      <c r="J151" s="22">
        <v>5622</v>
      </c>
      <c r="K151" s="22">
        <v>881851.88925000001</v>
      </c>
      <c r="L151" s="22">
        <v>8860.75</v>
      </c>
      <c r="M151" s="22">
        <v>356115.18125000002</v>
      </c>
      <c r="N151" s="22">
        <v>3568.75</v>
      </c>
      <c r="O151" s="22">
        <v>680898.39474999998</v>
      </c>
      <c r="P151" s="22">
        <v>6855.25</v>
      </c>
    </row>
    <row r="152" spans="1:16">
      <c r="A152" s="18" t="s">
        <v>1952</v>
      </c>
      <c r="B152" s="19" t="s">
        <v>1955</v>
      </c>
      <c r="C152" s="52">
        <v>22315</v>
      </c>
      <c r="D152" s="20" t="s">
        <v>475</v>
      </c>
      <c r="E152" s="22">
        <v>395879.77625</v>
      </c>
      <c r="F152" s="22">
        <v>3973.75</v>
      </c>
      <c r="G152" s="22">
        <v>344934.17364999995</v>
      </c>
      <c r="H152" s="22">
        <v>2176.35</v>
      </c>
      <c r="I152" s="22">
        <v>292632.91525000002</v>
      </c>
      <c r="J152" s="22">
        <v>1834.75</v>
      </c>
      <c r="K152" s="22">
        <v>300408.48975000001</v>
      </c>
      <c r="L152" s="22">
        <v>1760.25</v>
      </c>
      <c r="M152" s="22">
        <v>298098.64925000002</v>
      </c>
      <c r="N152" s="22">
        <v>2100.75</v>
      </c>
      <c r="O152" s="22">
        <v>350904.24349999998</v>
      </c>
      <c r="P152" s="22">
        <v>2256.5</v>
      </c>
    </row>
    <row r="153" spans="1:16">
      <c r="A153" s="18" t="s">
        <v>1952</v>
      </c>
      <c r="B153" s="19" t="s">
        <v>1956</v>
      </c>
      <c r="C153" s="52">
        <v>15039</v>
      </c>
      <c r="D153" s="20" t="s">
        <v>474</v>
      </c>
      <c r="E153" s="22">
        <v>597553.19074999995</v>
      </c>
      <c r="F153" s="22">
        <v>6059.25</v>
      </c>
      <c r="G153" s="22">
        <v>323872.42424999998</v>
      </c>
      <c r="H153" s="22">
        <v>3325.75</v>
      </c>
      <c r="I153" s="22">
        <v>582389.55449999997</v>
      </c>
      <c r="J153" s="22">
        <v>5945.5</v>
      </c>
      <c r="K153" s="22">
        <v>473424.17099999997</v>
      </c>
      <c r="L153" s="22">
        <v>4829</v>
      </c>
      <c r="M153" s="22">
        <v>695121.17174999998</v>
      </c>
      <c r="N153" s="22">
        <v>7078.25</v>
      </c>
      <c r="O153" s="22">
        <v>856368.92224999995</v>
      </c>
      <c r="P153" s="22">
        <v>8827.75</v>
      </c>
    </row>
    <row r="154" spans="1:16">
      <c r="A154" s="18" t="s">
        <v>1952</v>
      </c>
      <c r="B154" s="19" t="s">
        <v>1957</v>
      </c>
      <c r="C154" s="52">
        <v>21267</v>
      </c>
      <c r="D154" s="20" t="s">
        <v>475</v>
      </c>
      <c r="E154" s="22">
        <v>1721762.3602499999</v>
      </c>
      <c r="F154" s="22">
        <v>17389.75</v>
      </c>
      <c r="G154" s="22">
        <v>1633221.0824000002</v>
      </c>
      <c r="H154" s="22">
        <v>16517.599999999999</v>
      </c>
      <c r="I154" s="22">
        <v>2889172.2286</v>
      </c>
      <c r="J154" s="22">
        <v>29171.4</v>
      </c>
      <c r="K154" s="22">
        <v>3191504.3434499996</v>
      </c>
      <c r="L154" s="22">
        <v>32206.55</v>
      </c>
      <c r="M154" s="22">
        <v>1984583.6262999999</v>
      </c>
      <c r="N154" s="22">
        <v>20073.7</v>
      </c>
      <c r="O154" s="22">
        <v>3158925.6224000002</v>
      </c>
      <c r="P154" s="22">
        <v>31977.599999999999</v>
      </c>
    </row>
    <row r="155" spans="1:16">
      <c r="A155" s="18" t="s">
        <v>1952</v>
      </c>
      <c r="B155" s="19" t="s">
        <v>1958</v>
      </c>
      <c r="C155" s="52">
        <v>26841</v>
      </c>
      <c r="D155" s="20" t="s">
        <v>475</v>
      </c>
      <c r="E155" s="22">
        <v>163176.32199999999</v>
      </c>
      <c r="F155" s="22">
        <v>1678</v>
      </c>
      <c r="G155" s="22">
        <v>42722.576999999997</v>
      </c>
      <c r="H155" s="22">
        <v>423</v>
      </c>
      <c r="I155" s="22">
        <v>330424.62199999997</v>
      </c>
      <c r="J155" s="22">
        <v>3378</v>
      </c>
      <c r="K155" s="22">
        <v>116919.07975</v>
      </c>
      <c r="L155" s="22">
        <v>1170.25</v>
      </c>
      <c r="M155" s="22">
        <v>94107.791249999995</v>
      </c>
      <c r="N155" s="22">
        <v>958.75</v>
      </c>
      <c r="O155" s="22">
        <v>149537.96049999999</v>
      </c>
      <c r="P155" s="22">
        <v>1539.5</v>
      </c>
    </row>
    <row r="156" spans="1:16">
      <c r="A156" s="18" t="s">
        <v>1952</v>
      </c>
      <c r="B156" s="19" t="s">
        <v>1959</v>
      </c>
      <c r="C156" s="56">
        <v>26838</v>
      </c>
      <c r="D156" s="20" t="s">
        <v>475</v>
      </c>
      <c r="E156" s="22">
        <v>499088.20675000001</v>
      </c>
      <c r="F156" s="22">
        <v>5043.25</v>
      </c>
      <c r="G156" s="22">
        <v>319734.67204999999</v>
      </c>
      <c r="H156" s="22">
        <v>3277.95</v>
      </c>
      <c r="I156" s="22">
        <v>454273.98139999999</v>
      </c>
      <c r="J156" s="22">
        <v>4618.6000000000004</v>
      </c>
      <c r="K156" s="22">
        <v>895110.36049999995</v>
      </c>
      <c r="L156" s="22">
        <v>9139.5</v>
      </c>
      <c r="M156" s="22">
        <v>864298.37289999996</v>
      </c>
      <c r="N156" s="22">
        <v>8727.1</v>
      </c>
      <c r="O156" s="22">
        <v>754815.39704999991</v>
      </c>
      <c r="P156" s="22">
        <v>7552.95</v>
      </c>
    </row>
    <row r="157" spans="1:16">
      <c r="A157" s="18" t="s">
        <v>1952</v>
      </c>
      <c r="B157" s="19" t="s">
        <v>1960</v>
      </c>
      <c r="C157" s="52">
        <v>25736</v>
      </c>
      <c r="D157" s="20" t="s">
        <v>475</v>
      </c>
      <c r="E157" s="22">
        <v>270049.51775</v>
      </c>
      <c r="F157" s="22">
        <v>2732.25</v>
      </c>
      <c r="G157" s="22">
        <v>114661.6272</v>
      </c>
      <c r="H157" s="22">
        <v>1172.8</v>
      </c>
      <c r="I157" s="22">
        <v>142198.83969999998</v>
      </c>
      <c r="J157" s="22">
        <v>1460.3</v>
      </c>
      <c r="K157" s="22">
        <v>68384.624650000012</v>
      </c>
      <c r="L157" s="22">
        <v>725.35</v>
      </c>
      <c r="M157" s="22">
        <v>88029.909200000009</v>
      </c>
      <c r="N157" s="22">
        <v>890.8</v>
      </c>
      <c r="O157" s="22">
        <v>144925.75275000001</v>
      </c>
      <c r="P157" s="22">
        <v>1497.25</v>
      </c>
    </row>
    <row r="158" spans="1:16">
      <c r="A158" s="18" t="s">
        <v>1884</v>
      </c>
      <c r="B158" s="23" t="s">
        <v>1961</v>
      </c>
      <c r="C158" s="53">
        <v>14950</v>
      </c>
      <c r="D158" s="20" t="s">
        <v>474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</row>
    <row r="159" spans="1:16">
      <c r="A159" s="18" t="s">
        <v>1884</v>
      </c>
      <c r="B159" s="23" t="s">
        <v>1834</v>
      </c>
      <c r="C159" s="53">
        <v>15871</v>
      </c>
      <c r="D159" s="20" t="s">
        <v>474</v>
      </c>
      <c r="E159" s="22">
        <v>1568898.4156500001</v>
      </c>
      <c r="F159" s="22">
        <v>15934.35</v>
      </c>
      <c r="G159" s="22">
        <v>1573178.3557500001</v>
      </c>
      <c r="H159" s="22">
        <v>15894.25</v>
      </c>
      <c r="I159" s="22">
        <v>591569.96404999995</v>
      </c>
      <c r="J159" s="22">
        <v>5985.95</v>
      </c>
      <c r="K159" s="22">
        <v>949539.19125000003</v>
      </c>
      <c r="L159" s="22">
        <v>9558.75</v>
      </c>
      <c r="M159" s="22">
        <v>1493717.69695</v>
      </c>
      <c r="N159" s="22">
        <v>15353.05</v>
      </c>
      <c r="O159" s="22">
        <v>888279.97104999993</v>
      </c>
      <c r="P159" s="22">
        <v>8978.9500000000007</v>
      </c>
    </row>
    <row r="160" spans="1:16">
      <c r="A160" s="18" t="s">
        <v>1884</v>
      </c>
      <c r="B160" s="23" t="s">
        <v>1962</v>
      </c>
      <c r="C160" s="53">
        <v>18058</v>
      </c>
      <c r="D160" s="20" t="s">
        <v>474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</row>
    <row r="161" spans="1:16">
      <c r="A161" s="18" t="s">
        <v>1884</v>
      </c>
      <c r="B161" s="19" t="s">
        <v>1963</v>
      </c>
      <c r="C161" s="52">
        <v>21336</v>
      </c>
      <c r="D161" s="20" t="s">
        <v>475</v>
      </c>
      <c r="E161" s="22">
        <v>1058298.4110000001</v>
      </c>
      <c r="F161" s="22">
        <v>10589</v>
      </c>
      <c r="G161" s="22">
        <v>868964.12710000004</v>
      </c>
      <c r="H161" s="22">
        <v>8772.9</v>
      </c>
      <c r="I161" s="22">
        <v>497272.27269999997</v>
      </c>
      <c r="J161" s="22">
        <v>5027.3</v>
      </c>
      <c r="K161" s="22">
        <v>534691.15344999998</v>
      </c>
      <c r="L161" s="22">
        <v>5396.55</v>
      </c>
      <c r="M161" s="22">
        <v>486076.12894999998</v>
      </c>
      <c r="N161" s="22">
        <v>4921.05</v>
      </c>
      <c r="O161" s="22">
        <v>279093.91330000001</v>
      </c>
      <c r="P161" s="22">
        <v>2786.7</v>
      </c>
    </row>
    <row r="162" spans="1:16">
      <c r="A162" s="18" t="s">
        <v>1884</v>
      </c>
      <c r="B162" s="23" t="s">
        <v>1964</v>
      </c>
      <c r="C162" s="53">
        <v>15873</v>
      </c>
      <c r="D162" s="20" t="s">
        <v>474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</row>
    <row r="163" spans="1:16">
      <c r="A163" s="18" t="s">
        <v>1884</v>
      </c>
      <c r="B163" s="23" t="s">
        <v>1965</v>
      </c>
      <c r="C163" s="53">
        <v>25780</v>
      </c>
      <c r="D163" s="20" t="s">
        <v>475</v>
      </c>
      <c r="E163" s="22">
        <v>0</v>
      </c>
      <c r="F163" s="22">
        <v>0</v>
      </c>
      <c r="G163" s="22">
        <v>140013.55494999999</v>
      </c>
      <c r="H163" s="22">
        <v>1495.05</v>
      </c>
      <c r="I163" s="22">
        <v>310461.31550000003</v>
      </c>
      <c r="J163" s="22">
        <v>3184.5</v>
      </c>
      <c r="K163" s="22">
        <v>272609.08810000005</v>
      </c>
      <c r="L163" s="22">
        <v>2811.9</v>
      </c>
      <c r="M163" s="22">
        <v>22252.81695</v>
      </c>
      <c r="N163" s="22">
        <v>233.05</v>
      </c>
      <c r="O163" s="22">
        <v>0</v>
      </c>
      <c r="P163" s="22">
        <v>0</v>
      </c>
    </row>
    <row r="164" spans="1:16">
      <c r="A164" s="18" t="s">
        <v>1884</v>
      </c>
      <c r="B164" s="19" t="s">
        <v>1247</v>
      </c>
      <c r="C164" s="52">
        <v>39874</v>
      </c>
      <c r="D164" s="20" t="s">
        <v>475</v>
      </c>
      <c r="E164" s="22"/>
      <c r="F164" s="22"/>
      <c r="G164" s="22"/>
      <c r="H164" s="22"/>
      <c r="I164" s="22"/>
      <c r="J164" s="22"/>
      <c r="K164" s="22">
        <v>0</v>
      </c>
      <c r="L164" s="22">
        <v>0</v>
      </c>
      <c r="M164" s="22"/>
      <c r="N164" s="22"/>
      <c r="O164" s="22">
        <v>44018.301249999997</v>
      </c>
      <c r="P164" s="22">
        <v>448.75</v>
      </c>
    </row>
    <row r="165" spans="1:16">
      <c r="A165" s="18" t="s">
        <v>1884</v>
      </c>
      <c r="B165" s="23" t="s">
        <v>1966</v>
      </c>
      <c r="C165" s="53">
        <v>21333</v>
      </c>
      <c r="D165" s="20" t="s">
        <v>475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</row>
    <row r="166" spans="1:16">
      <c r="A166" s="18" t="s">
        <v>1884</v>
      </c>
      <c r="B166" s="23" t="s">
        <v>1967</v>
      </c>
      <c r="C166" s="53">
        <v>25772</v>
      </c>
      <c r="D166" s="20" t="s">
        <v>475</v>
      </c>
      <c r="E166" s="22">
        <v>482781.7034</v>
      </c>
      <c r="F166" s="22">
        <v>4896.6000000000004</v>
      </c>
      <c r="G166" s="22">
        <v>718395.74695000006</v>
      </c>
      <c r="H166" s="22">
        <v>7303.05</v>
      </c>
      <c r="I166" s="22">
        <v>613346.52704999992</v>
      </c>
      <c r="J166" s="22">
        <v>6422.95</v>
      </c>
      <c r="K166" s="22">
        <v>480104.66044999997</v>
      </c>
      <c r="L166" s="22">
        <v>4889.55</v>
      </c>
      <c r="M166" s="22">
        <v>0</v>
      </c>
      <c r="N166" s="22">
        <v>0</v>
      </c>
      <c r="O166" s="22">
        <v>0</v>
      </c>
      <c r="P166" s="22">
        <v>0</v>
      </c>
    </row>
    <row r="167" spans="1:16">
      <c r="A167" s="18" t="s">
        <v>1884</v>
      </c>
      <c r="B167" s="23" t="s">
        <v>1834</v>
      </c>
      <c r="C167" s="53">
        <v>16052</v>
      </c>
      <c r="D167" s="20" t="s">
        <v>474</v>
      </c>
      <c r="E167" s="22">
        <v>1153123.3748499998</v>
      </c>
      <c r="F167" s="22">
        <v>11775.15</v>
      </c>
      <c r="G167" s="22">
        <v>609135.03885000001</v>
      </c>
      <c r="H167" s="22">
        <v>6111.15</v>
      </c>
      <c r="I167" s="22">
        <v>752362.13034999999</v>
      </c>
      <c r="J167" s="22">
        <v>7519.65</v>
      </c>
      <c r="K167" s="22">
        <v>178292.08609999999</v>
      </c>
      <c r="L167" s="22">
        <v>1813.9</v>
      </c>
      <c r="M167" s="22">
        <v>25805.784</v>
      </c>
      <c r="N167" s="22">
        <v>216</v>
      </c>
      <c r="O167" s="22">
        <v>0</v>
      </c>
      <c r="P167" s="22">
        <v>0</v>
      </c>
    </row>
    <row r="168" spans="1:16">
      <c r="A168" s="18" t="s">
        <v>1884</v>
      </c>
      <c r="B168" s="23" t="s">
        <v>1968</v>
      </c>
      <c r="C168" s="53">
        <v>19291</v>
      </c>
      <c r="D168" s="20" t="s">
        <v>474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</row>
    <row r="169" spans="1:16">
      <c r="A169" s="18" t="s">
        <v>1884</v>
      </c>
      <c r="B169" s="23" t="s">
        <v>1969</v>
      </c>
      <c r="C169" s="53">
        <v>20538</v>
      </c>
      <c r="D169" s="20" t="s">
        <v>475</v>
      </c>
      <c r="E169" s="22">
        <v>643396.44664999994</v>
      </c>
      <c r="F169" s="22">
        <v>6903.35</v>
      </c>
      <c r="G169" s="22">
        <v>655625.91704999993</v>
      </c>
      <c r="H169" s="22">
        <v>7032.95</v>
      </c>
      <c r="I169" s="22">
        <v>1090565.7428499998</v>
      </c>
      <c r="J169" s="22">
        <v>11407.15</v>
      </c>
      <c r="K169" s="22">
        <v>664742.16105</v>
      </c>
      <c r="L169" s="22">
        <v>6788.95</v>
      </c>
      <c r="M169" s="22">
        <v>8908.4115000000002</v>
      </c>
      <c r="N169" s="22">
        <v>88.5</v>
      </c>
      <c r="O169" s="22">
        <v>0</v>
      </c>
      <c r="P169" s="22">
        <v>0</v>
      </c>
    </row>
    <row r="170" spans="1:16">
      <c r="A170" s="18" t="s">
        <v>1884</v>
      </c>
      <c r="B170" s="23" t="s">
        <v>1970</v>
      </c>
      <c r="C170" s="53">
        <v>15001</v>
      </c>
      <c r="D170" s="20" t="s">
        <v>474</v>
      </c>
      <c r="E170" s="22"/>
      <c r="F170" s="22"/>
      <c r="G170" s="22"/>
      <c r="H170" s="22"/>
      <c r="I170" s="22"/>
      <c r="J170" s="22"/>
      <c r="K170" s="22">
        <v>0</v>
      </c>
      <c r="L170" s="22">
        <v>0</v>
      </c>
      <c r="M170" s="22"/>
      <c r="N170" s="22"/>
      <c r="O170" s="22">
        <v>0</v>
      </c>
      <c r="P170" s="22">
        <v>0</v>
      </c>
    </row>
    <row r="171" spans="1:16">
      <c r="A171" s="18" t="s">
        <v>1884</v>
      </c>
      <c r="B171" s="23" t="s">
        <v>1971</v>
      </c>
      <c r="C171" s="53">
        <v>15041</v>
      </c>
      <c r="D171" s="20" t="s">
        <v>474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</row>
    <row r="172" spans="1:16">
      <c r="A172" s="18" t="s">
        <v>1884</v>
      </c>
      <c r="B172" s="23" t="s">
        <v>1834</v>
      </c>
      <c r="C172" s="53">
        <v>25811</v>
      </c>
      <c r="D172" s="20" t="s">
        <v>475</v>
      </c>
      <c r="E172" s="22">
        <v>411490.84499999997</v>
      </c>
      <c r="F172" s="22">
        <v>4155</v>
      </c>
      <c r="G172" s="22">
        <v>293059.26775</v>
      </c>
      <c r="H172" s="22">
        <v>2982.25</v>
      </c>
      <c r="I172" s="22">
        <v>448554.01139999996</v>
      </c>
      <c r="J172" s="22">
        <v>4588.6000000000004</v>
      </c>
      <c r="K172" s="22">
        <v>320468.11860000005</v>
      </c>
      <c r="L172" s="22">
        <v>3281.4</v>
      </c>
      <c r="M172" s="22">
        <v>0</v>
      </c>
      <c r="N172" s="22">
        <v>0</v>
      </c>
      <c r="O172" s="22">
        <v>0</v>
      </c>
      <c r="P172" s="22">
        <v>0</v>
      </c>
    </row>
    <row r="173" spans="1:16">
      <c r="A173" s="18" t="s">
        <v>1884</v>
      </c>
      <c r="B173" s="19" t="s">
        <v>1972</v>
      </c>
      <c r="C173" s="52">
        <v>21313</v>
      </c>
      <c r="D173" s="20" t="s">
        <v>475</v>
      </c>
      <c r="E173" s="22">
        <v>110929.4194</v>
      </c>
      <c r="F173" s="22">
        <v>1180.5999999999999</v>
      </c>
      <c r="G173" s="22">
        <v>253896.48080000002</v>
      </c>
      <c r="H173" s="22">
        <v>2719.2</v>
      </c>
      <c r="I173" s="22">
        <v>357366.90914999996</v>
      </c>
      <c r="J173" s="22">
        <v>3940.85</v>
      </c>
      <c r="K173" s="22">
        <v>311944.05264999997</v>
      </c>
      <c r="L173" s="22">
        <v>3297.35</v>
      </c>
      <c r="M173" s="22">
        <v>0</v>
      </c>
      <c r="N173" s="22">
        <v>0</v>
      </c>
      <c r="O173" s="22">
        <v>117335.14365000001</v>
      </c>
      <c r="P173" s="22">
        <v>1206.3499999999999</v>
      </c>
    </row>
    <row r="174" spans="1:16">
      <c r="A174" s="18" t="s">
        <v>1884</v>
      </c>
      <c r="B174" s="23" t="s">
        <v>1973</v>
      </c>
      <c r="C174" s="53">
        <v>16392</v>
      </c>
      <c r="D174" s="20" t="s">
        <v>474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</row>
    <row r="175" spans="1:16">
      <c r="A175" s="18" t="s">
        <v>1884</v>
      </c>
      <c r="B175" s="23" t="s">
        <v>1974</v>
      </c>
      <c r="C175" s="53">
        <v>21391</v>
      </c>
      <c r="D175" s="20" t="s">
        <v>475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</row>
    <row r="176" spans="1:16">
      <c r="A176" s="18" t="s">
        <v>22</v>
      </c>
      <c r="B176" s="23" t="s">
        <v>1975</v>
      </c>
      <c r="C176" s="53">
        <v>17096</v>
      </c>
      <c r="D176" s="20" t="s">
        <v>474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</row>
    <row r="177" spans="1:16">
      <c r="A177" s="18" t="s">
        <v>22</v>
      </c>
      <c r="B177" s="23" t="s">
        <v>1976</v>
      </c>
      <c r="C177" s="53">
        <v>31267</v>
      </c>
      <c r="D177" s="20" t="s">
        <v>475</v>
      </c>
      <c r="E177" s="22">
        <v>177419.43049999999</v>
      </c>
      <c r="F177" s="22">
        <v>69.5</v>
      </c>
      <c r="G177" s="22">
        <v>127499.9</v>
      </c>
      <c r="H177" s="22">
        <v>100</v>
      </c>
      <c r="I177" s="22">
        <v>168990.53925</v>
      </c>
      <c r="J177" s="22">
        <v>210.75</v>
      </c>
      <c r="K177" s="22">
        <v>103573.53640000001</v>
      </c>
      <c r="L177" s="22">
        <v>63.6</v>
      </c>
      <c r="M177" s="22">
        <v>579217.94195000001</v>
      </c>
      <c r="N177" s="22">
        <v>108.05</v>
      </c>
      <c r="O177" s="22">
        <v>681444.84490000003</v>
      </c>
      <c r="P177" s="22">
        <v>255.1</v>
      </c>
    </row>
    <row r="178" spans="1:16">
      <c r="A178" s="18" t="s">
        <v>22</v>
      </c>
      <c r="B178" s="19" t="s">
        <v>1977</v>
      </c>
      <c r="C178" s="52">
        <v>30801</v>
      </c>
      <c r="D178" s="20" t="s">
        <v>475</v>
      </c>
      <c r="E178" s="22">
        <v>1157387.4309</v>
      </c>
      <c r="F178" s="22">
        <v>11669.1</v>
      </c>
      <c r="G178" s="22">
        <v>1337235.2511500001</v>
      </c>
      <c r="H178" s="22">
        <v>13598.85</v>
      </c>
      <c r="I178" s="22">
        <v>1558088.53575</v>
      </c>
      <c r="J178" s="22">
        <v>15714.25</v>
      </c>
      <c r="K178" s="22">
        <v>1338628.7078</v>
      </c>
      <c r="L178" s="22">
        <v>13492.2</v>
      </c>
      <c r="M178" s="22">
        <v>1686738.6443</v>
      </c>
      <c r="N178" s="22">
        <v>17055.7</v>
      </c>
      <c r="O178" s="22">
        <v>1600730.2637</v>
      </c>
      <c r="P178" s="22">
        <v>16036.3</v>
      </c>
    </row>
    <row r="179" spans="1:16">
      <c r="A179" s="26" t="s">
        <v>1978</v>
      </c>
      <c r="B179" s="19" t="s">
        <v>1843</v>
      </c>
      <c r="C179" s="52">
        <v>31956</v>
      </c>
      <c r="D179" s="20" t="s">
        <v>475</v>
      </c>
      <c r="E179" s="30">
        <v>656633.92952499993</v>
      </c>
      <c r="F179" s="30">
        <v>6545.4750000000004</v>
      </c>
      <c r="G179" s="30">
        <v>1276176.2409000001</v>
      </c>
      <c r="H179" s="30">
        <v>12859.1</v>
      </c>
      <c r="I179" s="30">
        <v>1715804.8778499998</v>
      </c>
      <c r="J179" s="30">
        <v>17272.150000000001</v>
      </c>
      <c r="K179" s="30">
        <v>1887790.1759500001</v>
      </c>
      <c r="L179" s="30">
        <v>18874.05</v>
      </c>
      <c r="M179" s="30">
        <v>1301415.131875</v>
      </c>
      <c r="N179" s="30">
        <v>12993.125</v>
      </c>
      <c r="O179" s="30">
        <v>1127276.0676750001</v>
      </c>
      <c r="P179" s="30">
        <v>11257.325000000001</v>
      </c>
    </row>
  </sheetData>
  <conditionalFormatting sqref="D1">
    <cfRule type="duplicateValues" dxfId="6" priority="1"/>
    <cfRule type="duplicateValues" dxfId="5" priority="2"/>
  </conditionalFormatting>
  <conditionalFormatting sqref="C1:C179">
    <cfRule type="duplicateValues" dxfId="4" priority="3"/>
    <cfRule type="duplicateValues" dxfId="3" priority="4"/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71F2-88E2-42F8-84F9-BA8AEBEEFD3C}">
  <dimension ref="A1:P147"/>
  <sheetViews>
    <sheetView zoomScale="55" zoomScaleNormal="55" workbookViewId="0">
      <selection activeCell="A11" sqref="A11"/>
    </sheetView>
  </sheetViews>
  <sheetFormatPr defaultColWidth="121.85546875" defaultRowHeight="15"/>
  <cols>
    <col min="1" max="1" width="23.7109375" bestFit="1" customWidth="1"/>
    <col min="2" max="2" width="104.85546875" bestFit="1" customWidth="1"/>
    <col min="3" max="3" width="19.7109375" style="58" bestFit="1" customWidth="1"/>
    <col min="4" max="4" width="27.5703125" bestFit="1" customWidth="1"/>
    <col min="5" max="5" width="39.140625" bestFit="1" customWidth="1"/>
    <col min="6" max="6" width="41.7109375" bestFit="1" customWidth="1"/>
    <col min="7" max="7" width="41.140625" bestFit="1" customWidth="1"/>
    <col min="8" max="8" width="43.85546875" bestFit="1" customWidth="1"/>
    <col min="9" max="9" width="37.5703125" bestFit="1" customWidth="1"/>
    <col min="10" max="10" width="40.28515625" bestFit="1" customWidth="1"/>
    <col min="11" max="11" width="39" bestFit="1" customWidth="1"/>
    <col min="12" max="12" width="41.5703125" bestFit="1" customWidth="1"/>
    <col min="13" max="13" width="36.140625" bestFit="1" customWidth="1"/>
    <col min="14" max="14" width="38.85546875" bestFit="1" customWidth="1"/>
    <col min="15" max="15" width="38.28515625" bestFit="1" customWidth="1"/>
    <col min="16" max="16" width="40.85546875" bestFit="1" customWidth="1"/>
  </cols>
  <sheetData>
    <row r="1" spans="1:16" ht="45">
      <c r="A1" s="31" t="s">
        <v>1812</v>
      </c>
      <c r="B1" s="32" t="s">
        <v>1813</v>
      </c>
      <c r="C1" s="59" t="s">
        <v>2</v>
      </c>
      <c r="D1" s="32" t="s">
        <v>0</v>
      </c>
      <c r="E1" s="33" t="s">
        <v>1814</v>
      </c>
      <c r="F1" s="33" t="s">
        <v>1815</v>
      </c>
      <c r="G1" s="34" t="s">
        <v>1816</v>
      </c>
      <c r="H1" s="34" t="s">
        <v>1817</v>
      </c>
      <c r="I1" s="34" t="s">
        <v>1818</v>
      </c>
      <c r="J1" s="34" t="s">
        <v>1819</v>
      </c>
      <c r="K1" s="34" t="s">
        <v>1820</v>
      </c>
      <c r="L1" s="34" t="s">
        <v>1821</v>
      </c>
      <c r="M1" s="34" t="s">
        <v>1822</v>
      </c>
      <c r="N1" s="34" t="s">
        <v>1823</v>
      </c>
      <c r="O1" s="34" t="s">
        <v>1824</v>
      </c>
      <c r="P1" s="34" t="s">
        <v>1825</v>
      </c>
    </row>
    <row r="2" spans="1:16" ht="23.25">
      <c r="A2" s="35" t="s">
        <v>1826</v>
      </c>
      <c r="B2" s="36" t="s">
        <v>1979</v>
      </c>
      <c r="C2" s="60" t="s">
        <v>545</v>
      </c>
      <c r="D2" s="37" t="s">
        <v>1887</v>
      </c>
      <c r="E2" s="38">
        <v>834810.67879999999</v>
      </c>
      <c r="F2" s="38">
        <v>7871.2</v>
      </c>
      <c r="G2" s="38">
        <v>822700.14599999995</v>
      </c>
      <c r="H2" s="38">
        <v>7654</v>
      </c>
      <c r="I2" s="38">
        <v>963093.50489999994</v>
      </c>
      <c r="J2" s="38">
        <v>9045.1</v>
      </c>
      <c r="K2" s="38">
        <v>860677.53389999992</v>
      </c>
      <c r="L2" s="38">
        <v>7816.1</v>
      </c>
      <c r="M2" s="38">
        <v>843850.07909999997</v>
      </c>
      <c r="N2" s="38">
        <v>7770.9</v>
      </c>
      <c r="O2" s="38">
        <v>744726.94429999997</v>
      </c>
      <c r="P2" s="38">
        <v>6855.7</v>
      </c>
    </row>
    <row r="3" spans="1:16" ht="23.25">
      <c r="A3" s="35" t="s">
        <v>1826</v>
      </c>
      <c r="B3" s="39" t="s">
        <v>1980</v>
      </c>
      <c r="C3" s="61" t="s">
        <v>1490</v>
      </c>
      <c r="D3" s="37" t="s">
        <v>1981</v>
      </c>
      <c r="E3" s="38">
        <v>0</v>
      </c>
      <c r="F3" s="38">
        <v>0</v>
      </c>
      <c r="G3" s="38">
        <v>0</v>
      </c>
      <c r="H3" s="38">
        <v>0</v>
      </c>
      <c r="I3" s="38">
        <v>0</v>
      </c>
      <c r="J3" s="38">
        <v>0</v>
      </c>
      <c r="K3" s="38">
        <v>0</v>
      </c>
      <c r="L3" s="38">
        <v>0</v>
      </c>
      <c r="M3" s="38">
        <v>0</v>
      </c>
      <c r="N3" s="38">
        <v>0</v>
      </c>
      <c r="O3" s="38">
        <v>0</v>
      </c>
      <c r="P3" s="38">
        <v>0</v>
      </c>
    </row>
    <row r="4" spans="1:16" ht="23.25">
      <c r="A4" s="35" t="s">
        <v>1826</v>
      </c>
      <c r="B4" s="40" t="s">
        <v>1982</v>
      </c>
      <c r="C4" s="61" t="s">
        <v>603</v>
      </c>
      <c r="D4" s="37" t="s">
        <v>1981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J4" s="38">
        <v>0</v>
      </c>
      <c r="K4" s="38">
        <v>0</v>
      </c>
      <c r="L4" s="38">
        <v>0</v>
      </c>
      <c r="M4" s="38">
        <v>0</v>
      </c>
      <c r="N4" s="38">
        <v>0</v>
      </c>
      <c r="O4" s="38">
        <v>0</v>
      </c>
      <c r="P4" s="38">
        <v>0</v>
      </c>
    </row>
    <row r="5" spans="1:16" ht="23.25">
      <c r="A5" s="35" t="s">
        <v>1826</v>
      </c>
      <c r="B5" s="40" t="s">
        <v>1983</v>
      </c>
      <c r="C5" s="61" t="s">
        <v>564</v>
      </c>
      <c r="D5" s="37" t="s">
        <v>1981</v>
      </c>
      <c r="E5" s="38"/>
      <c r="F5" s="38"/>
      <c r="G5" s="38"/>
      <c r="H5" s="38"/>
      <c r="I5" s="38"/>
      <c r="J5" s="38"/>
      <c r="K5" s="38">
        <v>0</v>
      </c>
      <c r="L5" s="38">
        <v>0</v>
      </c>
      <c r="M5" s="38">
        <v>0</v>
      </c>
      <c r="N5" s="38">
        <v>0</v>
      </c>
      <c r="O5" s="38">
        <v>134935.26149999999</v>
      </c>
      <c r="P5" s="38">
        <v>1188.5</v>
      </c>
    </row>
    <row r="6" spans="1:16" ht="23.25">
      <c r="A6" s="35" t="s">
        <v>1826</v>
      </c>
      <c r="B6" s="36" t="s">
        <v>1831</v>
      </c>
      <c r="C6" s="60" t="s">
        <v>572</v>
      </c>
      <c r="D6" s="37" t="s">
        <v>1981</v>
      </c>
      <c r="E6" s="38">
        <v>432120.03810000001</v>
      </c>
      <c r="F6" s="38">
        <v>4161.8999999999996</v>
      </c>
      <c r="G6" s="38">
        <v>191032.2463</v>
      </c>
      <c r="H6" s="38">
        <v>1753.7</v>
      </c>
      <c r="I6" s="38">
        <v>1002191.4516</v>
      </c>
      <c r="J6" s="38">
        <v>9448.4</v>
      </c>
      <c r="K6" s="38">
        <v>630274.84329999995</v>
      </c>
      <c r="L6" s="38">
        <v>5956.7</v>
      </c>
      <c r="M6" s="38">
        <v>763714.63510000007</v>
      </c>
      <c r="N6" s="38">
        <v>7364.9</v>
      </c>
      <c r="O6" s="38">
        <v>766186.51120000007</v>
      </c>
      <c r="P6" s="38">
        <v>7388.8</v>
      </c>
    </row>
    <row r="7" spans="1:16" ht="23.25">
      <c r="A7" s="35" t="s">
        <v>1826</v>
      </c>
      <c r="B7" s="41" t="s">
        <v>1984</v>
      </c>
      <c r="C7" s="60" t="s">
        <v>560</v>
      </c>
      <c r="D7" s="37" t="s">
        <v>475</v>
      </c>
      <c r="E7" s="38">
        <v>949401.1067</v>
      </c>
      <c r="F7" s="38">
        <v>8943.2999999999993</v>
      </c>
      <c r="G7" s="38">
        <v>707126.42560000008</v>
      </c>
      <c r="H7" s="38">
        <v>6374.4</v>
      </c>
      <c r="I7" s="38">
        <v>1095236.0309000001</v>
      </c>
      <c r="J7" s="38">
        <v>10319.1</v>
      </c>
      <c r="K7" s="38">
        <v>538904.63839999994</v>
      </c>
      <c r="L7" s="38">
        <v>5161.6000000000004</v>
      </c>
      <c r="M7" s="38">
        <v>145953.06700000001</v>
      </c>
      <c r="N7" s="38">
        <v>1333</v>
      </c>
      <c r="O7" s="38">
        <v>968891.68039999995</v>
      </c>
      <c r="P7" s="38">
        <v>8969.6</v>
      </c>
    </row>
    <row r="8" spans="1:16" ht="23.25">
      <c r="A8" s="35" t="s">
        <v>1826</v>
      </c>
      <c r="B8" s="36" t="s">
        <v>1985</v>
      </c>
      <c r="C8" s="60" t="s">
        <v>597</v>
      </c>
      <c r="D8" s="37" t="s">
        <v>1981</v>
      </c>
      <c r="E8" s="38">
        <v>315574.36260000005</v>
      </c>
      <c r="F8" s="38">
        <v>3087.4</v>
      </c>
      <c r="G8" s="38">
        <v>287738.62939999998</v>
      </c>
      <c r="H8" s="38">
        <v>2820.6</v>
      </c>
      <c r="I8" s="38">
        <v>355594.86660000001</v>
      </c>
      <c r="J8" s="38">
        <v>3433.4</v>
      </c>
      <c r="K8" s="38">
        <v>282569.09610000002</v>
      </c>
      <c r="L8" s="38">
        <v>2753.9</v>
      </c>
      <c r="M8" s="38">
        <v>346587.82169999997</v>
      </c>
      <c r="N8" s="38">
        <v>3378.3</v>
      </c>
      <c r="O8" s="38">
        <v>250566.47319999998</v>
      </c>
      <c r="P8" s="38">
        <v>2326.8000000000002</v>
      </c>
    </row>
    <row r="9" spans="1:16" ht="23.25">
      <c r="A9" s="35" t="s">
        <v>1826</v>
      </c>
      <c r="B9" s="39" t="s">
        <v>1832</v>
      </c>
      <c r="C9" s="61" t="s">
        <v>579</v>
      </c>
      <c r="D9" s="37" t="s">
        <v>1981</v>
      </c>
      <c r="E9" s="38">
        <v>358152.3922</v>
      </c>
      <c r="F9" s="38">
        <v>3257.8</v>
      </c>
      <c r="G9" s="38">
        <v>505818.32460000005</v>
      </c>
      <c r="H9" s="38">
        <v>4775.3999999999996</v>
      </c>
      <c r="I9" s="38">
        <v>958113.74950000003</v>
      </c>
      <c r="J9" s="38">
        <v>8800.5</v>
      </c>
      <c r="K9" s="38">
        <v>0</v>
      </c>
      <c r="L9" s="38">
        <v>0</v>
      </c>
      <c r="M9" s="38">
        <v>0</v>
      </c>
      <c r="N9" s="38">
        <v>0</v>
      </c>
      <c r="O9" s="38">
        <v>413115.74439999997</v>
      </c>
      <c r="P9" s="38">
        <v>3905.6</v>
      </c>
    </row>
    <row r="10" spans="1:16" ht="23.25">
      <c r="A10" s="35" t="s">
        <v>1826</v>
      </c>
      <c r="B10" s="36" t="s">
        <v>1833</v>
      </c>
      <c r="C10" s="60" t="s">
        <v>555</v>
      </c>
      <c r="D10" s="37" t="s">
        <v>475</v>
      </c>
      <c r="E10" s="38">
        <v>321311.21039999998</v>
      </c>
      <c r="F10" s="38">
        <v>3039.6</v>
      </c>
      <c r="G10" s="38">
        <v>830763.14439999999</v>
      </c>
      <c r="H10" s="38">
        <v>7755.6</v>
      </c>
      <c r="I10" s="38">
        <v>1206341.0758</v>
      </c>
      <c r="J10" s="38">
        <v>11574.2</v>
      </c>
      <c r="K10" s="38">
        <v>540502.0597000001</v>
      </c>
      <c r="L10" s="38">
        <v>5240.3</v>
      </c>
      <c r="M10" s="38">
        <v>1319934.6165</v>
      </c>
      <c r="N10" s="38">
        <v>12583.5</v>
      </c>
      <c r="O10" s="38">
        <v>1661374.577</v>
      </c>
      <c r="P10" s="38">
        <v>15923</v>
      </c>
    </row>
    <row r="11" spans="1:16" ht="23.25">
      <c r="A11" s="35" t="s">
        <v>1826</v>
      </c>
      <c r="B11" s="42" t="s">
        <v>1986</v>
      </c>
      <c r="C11" s="62" t="s">
        <v>589</v>
      </c>
      <c r="D11" s="37" t="s">
        <v>475</v>
      </c>
      <c r="E11" s="38">
        <v>196051.42630000002</v>
      </c>
      <c r="F11" s="38">
        <v>1923.7</v>
      </c>
      <c r="G11" s="38">
        <v>250907.28340000001</v>
      </c>
      <c r="H11" s="38">
        <v>2416.6</v>
      </c>
      <c r="I11" s="38">
        <v>391208.14730000001</v>
      </c>
      <c r="J11" s="38">
        <v>3752.7</v>
      </c>
      <c r="K11" s="38">
        <v>350816.97830000002</v>
      </c>
      <c r="L11" s="38">
        <v>3321.7</v>
      </c>
      <c r="M11" s="38">
        <v>399434.02399999998</v>
      </c>
      <c r="N11" s="38">
        <v>3826</v>
      </c>
      <c r="O11" s="38">
        <v>0</v>
      </c>
      <c r="P11" s="38">
        <v>0</v>
      </c>
    </row>
    <row r="12" spans="1:16" ht="46.5">
      <c r="A12" s="35" t="s">
        <v>1826</v>
      </c>
      <c r="B12" s="43" t="s">
        <v>1987</v>
      </c>
      <c r="C12" s="63" t="s">
        <v>1988</v>
      </c>
      <c r="D12" s="37" t="s">
        <v>1981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</row>
    <row r="13" spans="1:16" ht="23.25">
      <c r="A13" s="35" t="s">
        <v>1836</v>
      </c>
      <c r="B13" s="36" t="s">
        <v>1989</v>
      </c>
      <c r="C13" s="60" t="s">
        <v>1351</v>
      </c>
      <c r="D13" s="37" t="s">
        <v>1981</v>
      </c>
      <c r="E13" s="38">
        <v>785539.81264999998</v>
      </c>
      <c r="F13" s="38">
        <v>7537.35</v>
      </c>
      <c r="G13" s="38">
        <v>494253.96805000002</v>
      </c>
      <c r="H13" s="38">
        <v>4656.95</v>
      </c>
      <c r="I13" s="38">
        <v>1224731.7652499999</v>
      </c>
      <c r="J13" s="38">
        <v>11734.75</v>
      </c>
      <c r="K13" s="38">
        <v>834897.44050000003</v>
      </c>
      <c r="L13" s="38">
        <v>7659.5</v>
      </c>
      <c r="M13" s="38">
        <v>591829.95120000001</v>
      </c>
      <c r="N13" s="38">
        <v>5598.8</v>
      </c>
      <c r="O13" s="38">
        <v>1025986.3682</v>
      </c>
      <c r="P13" s="38">
        <v>9881.7999999999993</v>
      </c>
    </row>
    <row r="14" spans="1:16" ht="23.25">
      <c r="A14" s="35" t="s">
        <v>1836</v>
      </c>
      <c r="B14" s="36" t="s">
        <v>1842</v>
      </c>
      <c r="C14" s="60" t="s">
        <v>1356</v>
      </c>
      <c r="D14" s="37" t="s">
        <v>1981</v>
      </c>
      <c r="E14" s="38">
        <v>661899.06810000003</v>
      </c>
      <c r="F14" s="38">
        <v>6531.9</v>
      </c>
      <c r="G14" s="38">
        <v>560837.34710000001</v>
      </c>
      <c r="H14" s="38">
        <v>5552.9</v>
      </c>
      <c r="I14" s="38">
        <v>483951.82639999996</v>
      </c>
      <c r="J14" s="38">
        <v>4773.6000000000004</v>
      </c>
      <c r="K14" s="38">
        <v>309638.51120000001</v>
      </c>
      <c r="L14" s="38">
        <v>2988.8</v>
      </c>
      <c r="M14" s="38">
        <v>535335.43079999997</v>
      </c>
      <c r="N14" s="38">
        <v>5269.2</v>
      </c>
      <c r="O14" s="38">
        <v>662073.00390000001</v>
      </c>
      <c r="P14" s="38">
        <v>6496.1</v>
      </c>
    </row>
    <row r="15" spans="1:16" ht="23.25">
      <c r="A15" s="35" t="s">
        <v>1836</v>
      </c>
      <c r="B15" s="36" t="s">
        <v>1840</v>
      </c>
      <c r="C15" s="60" t="s">
        <v>1361</v>
      </c>
      <c r="D15" s="37" t="s">
        <v>1981</v>
      </c>
      <c r="E15" s="38">
        <v>530270.027</v>
      </c>
      <c r="F15" s="38">
        <v>4673</v>
      </c>
      <c r="G15" s="38">
        <v>288914.125</v>
      </c>
      <c r="H15" s="38">
        <v>2775</v>
      </c>
      <c r="I15" s="38">
        <v>6039.7402000000002</v>
      </c>
      <c r="J15" s="38">
        <v>59.8</v>
      </c>
      <c r="K15" s="38">
        <v>0</v>
      </c>
      <c r="L15" s="38">
        <v>0</v>
      </c>
      <c r="M15" s="38">
        <v>309822.24069999997</v>
      </c>
      <c r="N15" s="38">
        <v>2959.3</v>
      </c>
      <c r="O15" s="38">
        <v>668589.6</v>
      </c>
      <c r="P15" s="38">
        <v>6250</v>
      </c>
    </row>
    <row r="16" spans="1:16" ht="23.25">
      <c r="A16" s="35" t="s">
        <v>1836</v>
      </c>
      <c r="B16" s="36" t="s">
        <v>1841</v>
      </c>
      <c r="C16" s="60" t="s">
        <v>1366</v>
      </c>
      <c r="D16" s="37" t="s">
        <v>1981</v>
      </c>
      <c r="E16" s="38">
        <v>922933.66039999994</v>
      </c>
      <c r="F16" s="38">
        <v>8689.6</v>
      </c>
      <c r="G16" s="38">
        <v>976731.61160000006</v>
      </c>
      <c r="H16" s="38">
        <v>9488.4</v>
      </c>
      <c r="I16" s="38">
        <v>1142837.5521</v>
      </c>
      <c r="J16" s="38">
        <v>10797.9</v>
      </c>
      <c r="K16" s="38">
        <v>678147.63770000008</v>
      </c>
      <c r="L16" s="38">
        <v>6312.3</v>
      </c>
      <c r="M16" s="38">
        <v>1201754.0979000002</v>
      </c>
      <c r="N16" s="38">
        <v>11552.1</v>
      </c>
      <c r="O16" s="38">
        <v>1113367.8097999999</v>
      </c>
      <c r="P16" s="38">
        <v>10590.2</v>
      </c>
    </row>
    <row r="17" spans="1:16" ht="23.25">
      <c r="A17" s="35" t="s">
        <v>1836</v>
      </c>
      <c r="B17" s="39" t="s">
        <v>1990</v>
      </c>
      <c r="C17" s="61" t="s">
        <v>1353</v>
      </c>
      <c r="D17" s="37" t="s">
        <v>1887</v>
      </c>
      <c r="E17" s="38">
        <v>224005.67719999998</v>
      </c>
      <c r="F17" s="38">
        <v>2072.8000000000002</v>
      </c>
      <c r="G17" s="38">
        <v>45078.856700000004</v>
      </c>
      <c r="H17" s="38">
        <v>443.3</v>
      </c>
      <c r="I17" s="38">
        <v>6595.2347</v>
      </c>
      <c r="J17" s="38">
        <v>65.3</v>
      </c>
      <c r="K17" s="38">
        <v>403.99599999999998</v>
      </c>
      <c r="L17" s="38">
        <v>4</v>
      </c>
      <c r="M17" s="38">
        <v>282.79720000000003</v>
      </c>
      <c r="N17" s="38">
        <v>2.8</v>
      </c>
      <c r="O17" s="38">
        <v>118033.0889</v>
      </c>
      <c r="P17" s="38">
        <v>1011.1</v>
      </c>
    </row>
    <row r="18" spans="1:16" ht="23.25">
      <c r="A18" s="35" t="s">
        <v>1836</v>
      </c>
      <c r="B18" s="39" t="s">
        <v>1991</v>
      </c>
      <c r="C18" s="61" t="s">
        <v>1369</v>
      </c>
      <c r="D18" s="37" t="s">
        <v>475</v>
      </c>
      <c r="E18" s="38">
        <v>139204.66630000001</v>
      </c>
      <c r="F18" s="38">
        <v>1333.7</v>
      </c>
      <c r="G18" s="38">
        <v>232.29770000000002</v>
      </c>
      <c r="H18" s="38">
        <v>2.2999999999999998</v>
      </c>
      <c r="I18" s="38">
        <v>26500.755399999998</v>
      </c>
      <c r="J18" s="38">
        <v>244.6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</row>
    <row r="19" spans="1:16" ht="23.25">
      <c r="A19" s="35" t="s">
        <v>1836</v>
      </c>
      <c r="B19" s="36" t="s">
        <v>1844</v>
      </c>
      <c r="C19" s="64" t="s">
        <v>1364</v>
      </c>
      <c r="D19" s="37" t="s">
        <v>475</v>
      </c>
      <c r="E19" s="38">
        <v>177760.67719999998</v>
      </c>
      <c r="F19" s="38">
        <v>1722.8</v>
      </c>
      <c r="G19" s="38">
        <v>230029.85619999998</v>
      </c>
      <c r="H19" s="38">
        <v>2093.8000000000002</v>
      </c>
      <c r="I19" s="38">
        <v>630990.11040000001</v>
      </c>
      <c r="J19" s="38">
        <v>5989.6</v>
      </c>
      <c r="K19" s="38">
        <v>147968.07030000002</v>
      </c>
      <c r="L19" s="38">
        <v>1329.7</v>
      </c>
      <c r="M19" s="38">
        <v>29689.112100000002</v>
      </c>
      <c r="N19" s="38">
        <v>287.89999999999998</v>
      </c>
      <c r="O19" s="38">
        <v>288675.17080000002</v>
      </c>
      <c r="P19" s="38">
        <v>2679.2</v>
      </c>
    </row>
    <row r="20" spans="1:16" ht="23.25">
      <c r="A20" s="35" t="s">
        <v>1836</v>
      </c>
      <c r="B20" s="39" t="s">
        <v>1992</v>
      </c>
      <c r="C20" s="65" t="s">
        <v>1993</v>
      </c>
      <c r="D20" s="37" t="s">
        <v>475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</row>
    <row r="21" spans="1:16" ht="23.25">
      <c r="A21" s="35" t="s">
        <v>1845</v>
      </c>
      <c r="B21" s="36" t="s">
        <v>1852</v>
      </c>
      <c r="C21" s="60" t="s">
        <v>1063</v>
      </c>
      <c r="D21" s="37" t="s">
        <v>1981</v>
      </c>
      <c r="E21" s="38">
        <v>68079.628450000004</v>
      </c>
      <c r="F21" s="38">
        <v>671.55</v>
      </c>
      <c r="G21" s="38">
        <v>495502.16985000001</v>
      </c>
      <c r="H21" s="38">
        <v>4655.1499999999996</v>
      </c>
      <c r="I21" s="38">
        <v>490285.74539999996</v>
      </c>
      <c r="J21" s="38">
        <v>4679.6000000000004</v>
      </c>
      <c r="K21" s="38">
        <v>273193.27260000003</v>
      </c>
      <c r="L21" s="38">
        <v>2177.4</v>
      </c>
      <c r="M21" s="38">
        <v>477889.43339999998</v>
      </c>
      <c r="N21" s="38">
        <v>4641.6000000000004</v>
      </c>
      <c r="O21" s="38">
        <v>316363.37065</v>
      </c>
      <c r="P21" s="38">
        <v>3029.35</v>
      </c>
    </row>
    <row r="22" spans="1:16" ht="23.25">
      <c r="A22" s="35" t="s">
        <v>1845</v>
      </c>
      <c r="B22" s="36" t="s">
        <v>1994</v>
      </c>
      <c r="C22" s="60" t="s">
        <v>1090</v>
      </c>
      <c r="D22" s="37" t="s">
        <v>1981</v>
      </c>
      <c r="E22" s="38">
        <v>212139.5724</v>
      </c>
      <c r="F22" s="38">
        <v>2077.6</v>
      </c>
      <c r="G22" s="38">
        <v>225487.5405</v>
      </c>
      <c r="H22" s="38">
        <v>2159.5</v>
      </c>
      <c r="I22" s="38">
        <v>502731.77339999995</v>
      </c>
      <c r="J22" s="38">
        <v>4776.6000000000004</v>
      </c>
      <c r="K22" s="38">
        <v>263719.55180000002</v>
      </c>
      <c r="L22" s="38">
        <v>2548.1999999999998</v>
      </c>
      <c r="M22" s="38">
        <v>504659.03880000004</v>
      </c>
      <c r="N22" s="38">
        <v>4761.2</v>
      </c>
      <c r="O22" s="38">
        <v>281365.45010000002</v>
      </c>
      <c r="P22" s="38">
        <v>2699.9</v>
      </c>
    </row>
    <row r="23" spans="1:16" ht="23.25">
      <c r="A23" s="35" t="s">
        <v>1845</v>
      </c>
      <c r="B23" s="36" t="s">
        <v>1995</v>
      </c>
      <c r="C23" s="60" t="s">
        <v>1079</v>
      </c>
      <c r="D23" s="37" t="s">
        <v>1981</v>
      </c>
      <c r="E23" s="38">
        <v>125814.0658</v>
      </c>
      <c r="F23" s="38">
        <v>1134.2</v>
      </c>
      <c r="G23" s="38">
        <v>348927.63099999999</v>
      </c>
      <c r="H23" s="38">
        <v>3319</v>
      </c>
      <c r="I23" s="38">
        <v>561502.58250000002</v>
      </c>
      <c r="J23" s="38">
        <v>5367.5</v>
      </c>
      <c r="K23" s="38">
        <v>114131.22199999999</v>
      </c>
      <c r="L23" s="38">
        <v>1028</v>
      </c>
      <c r="M23" s="38">
        <v>754497.31579999998</v>
      </c>
      <c r="N23" s="38">
        <v>7284.2</v>
      </c>
      <c r="O23" s="38">
        <v>426862.52179999999</v>
      </c>
      <c r="P23" s="38">
        <v>4078.2</v>
      </c>
    </row>
    <row r="24" spans="1:16" ht="23.25">
      <c r="A24" s="35" t="s">
        <v>1845</v>
      </c>
      <c r="B24" s="36" t="s">
        <v>1996</v>
      </c>
      <c r="C24" s="60" t="s">
        <v>1075</v>
      </c>
      <c r="D24" s="37" t="s">
        <v>1981</v>
      </c>
      <c r="E24" s="38">
        <v>680324.32370000007</v>
      </c>
      <c r="F24" s="38">
        <v>6226.3</v>
      </c>
      <c r="G24" s="38">
        <v>651663.07050000003</v>
      </c>
      <c r="H24" s="38">
        <v>6329.5</v>
      </c>
      <c r="I24" s="38">
        <v>645207.66700000002</v>
      </c>
      <c r="J24" s="38">
        <v>6233</v>
      </c>
      <c r="K24" s="38">
        <v>328870.78210000001</v>
      </c>
      <c r="L24" s="38">
        <v>3217.9</v>
      </c>
      <c r="M24" s="38">
        <v>1037711.7215</v>
      </c>
      <c r="N24" s="38">
        <v>9928.5</v>
      </c>
      <c r="O24" s="38">
        <v>652995.41779999994</v>
      </c>
      <c r="P24" s="38">
        <v>5982.2</v>
      </c>
    </row>
    <row r="25" spans="1:16" ht="23.25">
      <c r="A25" s="35" t="s">
        <v>1845</v>
      </c>
      <c r="B25" s="36" t="s">
        <v>1997</v>
      </c>
      <c r="C25" s="60" t="s">
        <v>1065</v>
      </c>
      <c r="D25" s="37" t="s">
        <v>1887</v>
      </c>
      <c r="E25" s="38">
        <v>0</v>
      </c>
      <c r="F25" s="38">
        <v>0</v>
      </c>
      <c r="G25" s="38">
        <v>156466.5699</v>
      </c>
      <c r="H25" s="38">
        <v>1530.1</v>
      </c>
      <c r="I25" s="38">
        <v>229559.3671</v>
      </c>
      <c r="J25" s="38">
        <v>2182.9</v>
      </c>
      <c r="K25" s="38">
        <v>266119.17420000001</v>
      </c>
      <c r="L25" s="38">
        <v>2625.8</v>
      </c>
      <c r="M25" s="38">
        <v>291934.30010000005</v>
      </c>
      <c r="N25" s="38">
        <v>2799.9</v>
      </c>
      <c r="O25" s="38">
        <v>403285.79670000001</v>
      </c>
      <c r="P25" s="38">
        <v>3703.3</v>
      </c>
    </row>
    <row r="26" spans="1:16" ht="23.25">
      <c r="A26" s="35" t="s">
        <v>1845</v>
      </c>
      <c r="B26" s="36" t="s">
        <v>1851</v>
      </c>
      <c r="C26" s="60" t="s">
        <v>1072</v>
      </c>
      <c r="D26" s="37" t="s">
        <v>475</v>
      </c>
      <c r="E26" s="38">
        <v>739326.83310000005</v>
      </c>
      <c r="F26" s="38">
        <v>7266.9</v>
      </c>
      <c r="G26" s="38">
        <v>559672.0993</v>
      </c>
      <c r="H26" s="38">
        <v>5400.7</v>
      </c>
      <c r="I26" s="38">
        <v>1747246.1565999999</v>
      </c>
      <c r="J26" s="38">
        <v>16943.400000000001</v>
      </c>
      <c r="K26" s="38">
        <v>914502.1852999999</v>
      </c>
      <c r="L26" s="38">
        <v>8914.7000000000007</v>
      </c>
      <c r="M26" s="38">
        <v>941141.40159999998</v>
      </c>
      <c r="N26" s="38">
        <v>8898.4</v>
      </c>
      <c r="O26" s="38">
        <v>1628621.0776</v>
      </c>
      <c r="P26" s="38">
        <v>15822.4</v>
      </c>
    </row>
    <row r="27" spans="1:16" ht="23.25">
      <c r="A27" s="35" t="s">
        <v>1845</v>
      </c>
      <c r="B27" s="36" t="s">
        <v>1850</v>
      </c>
      <c r="C27" s="60" t="s">
        <v>1069</v>
      </c>
      <c r="D27" s="37" t="s">
        <v>475</v>
      </c>
      <c r="E27" s="38">
        <v>1011665.9939999999</v>
      </c>
      <c r="F27" s="38">
        <v>9806</v>
      </c>
      <c r="G27" s="38">
        <v>881781.03610000003</v>
      </c>
      <c r="H27" s="38">
        <v>8613.9</v>
      </c>
      <c r="I27" s="38">
        <v>1129240.6117999998</v>
      </c>
      <c r="J27" s="38">
        <v>11088.2</v>
      </c>
      <c r="K27" s="38">
        <v>1050376.1209</v>
      </c>
      <c r="L27" s="38">
        <v>10329.1</v>
      </c>
      <c r="M27" s="38">
        <v>2070545.1185000001</v>
      </c>
      <c r="N27" s="38">
        <v>20231.5</v>
      </c>
      <c r="O27" s="38">
        <v>1627387.2404</v>
      </c>
      <c r="P27" s="38">
        <v>15909.6</v>
      </c>
    </row>
    <row r="28" spans="1:16" ht="23.25">
      <c r="A28" s="35" t="s">
        <v>1845</v>
      </c>
      <c r="B28" s="36" t="s">
        <v>1998</v>
      </c>
      <c r="C28" s="60" t="s">
        <v>1082</v>
      </c>
      <c r="D28" s="37" t="s">
        <v>475</v>
      </c>
      <c r="E28" s="38">
        <v>519619.33130000002</v>
      </c>
      <c r="F28" s="38">
        <v>4818.7</v>
      </c>
      <c r="G28" s="38">
        <v>257095.99419999999</v>
      </c>
      <c r="H28" s="38">
        <v>2455.8000000000002</v>
      </c>
      <c r="I28" s="38">
        <v>523750.04800000001</v>
      </c>
      <c r="J28" s="38">
        <v>4852</v>
      </c>
      <c r="K28" s="38">
        <v>406473.0675</v>
      </c>
      <c r="L28" s="38">
        <v>3832.5</v>
      </c>
      <c r="M28" s="38">
        <v>574435.92910000007</v>
      </c>
      <c r="N28" s="38">
        <v>5420.9</v>
      </c>
      <c r="O28" s="38">
        <v>547678.24320000003</v>
      </c>
      <c r="P28" s="38">
        <v>5206.8</v>
      </c>
    </row>
    <row r="29" spans="1:16" ht="23.25">
      <c r="A29" s="35" t="s">
        <v>1845</v>
      </c>
      <c r="B29" s="36" t="s">
        <v>1999</v>
      </c>
      <c r="C29" s="60" t="s">
        <v>1092</v>
      </c>
      <c r="D29" s="37" t="s">
        <v>475</v>
      </c>
      <c r="E29" s="38">
        <v>1204627.8819000002</v>
      </c>
      <c r="F29" s="38">
        <v>11568.1</v>
      </c>
      <c r="G29" s="38">
        <v>1244137.808</v>
      </c>
      <c r="H29" s="38">
        <v>11892</v>
      </c>
      <c r="I29" s="38">
        <v>1013028.6544</v>
      </c>
      <c r="J29" s="38">
        <v>9695.6</v>
      </c>
      <c r="K29" s="38">
        <v>794899.86529999995</v>
      </c>
      <c r="L29" s="38">
        <v>7634.7</v>
      </c>
      <c r="M29" s="38">
        <v>1410307.8142000001</v>
      </c>
      <c r="N29" s="38">
        <v>13685.8</v>
      </c>
      <c r="O29" s="38">
        <v>1444932.9523</v>
      </c>
      <c r="P29" s="38">
        <v>13797.7</v>
      </c>
    </row>
    <row r="30" spans="1:16" ht="23.25">
      <c r="A30" s="35" t="s">
        <v>1845</v>
      </c>
      <c r="B30" s="36" t="s">
        <v>2000</v>
      </c>
      <c r="C30" s="62" t="s">
        <v>1086</v>
      </c>
      <c r="D30" s="37" t="s">
        <v>475</v>
      </c>
      <c r="E30" s="38">
        <v>850989.9388</v>
      </c>
      <c r="F30" s="38">
        <v>8111.2</v>
      </c>
      <c r="G30" s="38">
        <v>1005276.4308999999</v>
      </c>
      <c r="H30" s="38">
        <v>9369.1</v>
      </c>
      <c r="I30" s="38">
        <v>1325890.1307999999</v>
      </c>
      <c r="J30" s="38">
        <v>12519.2</v>
      </c>
      <c r="K30" s="38">
        <v>1225420.5977999999</v>
      </c>
      <c r="L30" s="38">
        <v>11802.2</v>
      </c>
      <c r="M30" s="38">
        <v>1087017.5374</v>
      </c>
      <c r="N30" s="38">
        <v>10312.6</v>
      </c>
      <c r="O30" s="38">
        <v>1233860.5418</v>
      </c>
      <c r="P30" s="38">
        <v>11808.2</v>
      </c>
    </row>
    <row r="31" spans="1:16" ht="23.25">
      <c r="A31" s="35" t="s">
        <v>1854</v>
      </c>
      <c r="B31" s="36" t="s">
        <v>2001</v>
      </c>
      <c r="C31" s="60" t="s">
        <v>510</v>
      </c>
      <c r="D31" s="37" t="s">
        <v>1981</v>
      </c>
      <c r="E31" s="38">
        <v>1155462.0821</v>
      </c>
      <c r="F31" s="38">
        <v>10967.9</v>
      </c>
      <c r="G31" s="38">
        <v>1672530.8073</v>
      </c>
      <c r="H31" s="38">
        <v>15592.7</v>
      </c>
      <c r="I31" s="38">
        <v>1900546.5448</v>
      </c>
      <c r="J31" s="38">
        <v>18055.2</v>
      </c>
      <c r="K31" s="38">
        <v>1246888.9838</v>
      </c>
      <c r="L31" s="38">
        <v>11666.2</v>
      </c>
      <c r="M31" s="38">
        <v>1852852.4129000001</v>
      </c>
      <c r="N31" s="38">
        <v>17637.099999999999</v>
      </c>
      <c r="O31" s="38">
        <v>2277586.0929999999</v>
      </c>
      <c r="P31" s="38">
        <v>21507</v>
      </c>
    </row>
    <row r="32" spans="1:16" ht="23.25">
      <c r="A32" s="35" t="s">
        <v>1854</v>
      </c>
      <c r="B32" s="36" t="s">
        <v>1862</v>
      </c>
      <c r="C32" s="60" t="s">
        <v>487</v>
      </c>
      <c r="D32" s="37" t="s">
        <v>1981</v>
      </c>
      <c r="E32" s="38">
        <v>188752.02659999998</v>
      </c>
      <c r="F32" s="38">
        <v>1623.4</v>
      </c>
      <c r="G32" s="38">
        <v>340871.39619999996</v>
      </c>
      <c r="H32" s="38">
        <v>3053.8</v>
      </c>
      <c r="I32" s="38">
        <v>498352.73469999997</v>
      </c>
      <c r="J32" s="38">
        <v>4615.3</v>
      </c>
      <c r="K32" s="38">
        <v>216875.19330000001</v>
      </c>
      <c r="L32" s="38">
        <v>2006.7</v>
      </c>
      <c r="M32" s="38">
        <v>319661.62300000002</v>
      </c>
      <c r="N32" s="38">
        <v>2677</v>
      </c>
      <c r="O32" s="38">
        <v>313609.06150000001</v>
      </c>
      <c r="P32" s="38">
        <v>2888.5</v>
      </c>
    </row>
    <row r="33" spans="1:16" ht="23.25">
      <c r="A33" s="35" t="s">
        <v>1854</v>
      </c>
      <c r="B33" s="36" t="s">
        <v>2002</v>
      </c>
      <c r="C33" s="60" t="s">
        <v>518</v>
      </c>
      <c r="D33" s="37" t="s">
        <v>1981</v>
      </c>
      <c r="E33" s="38">
        <v>883246.72600000002</v>
      </c>
      <c r="F33" s="38">
        <v>8324</v>
      </c>
      <c r="G33" s="38">
        <v>1624747.2990000001</v>
      </c>
      <c r="H33" s="38">
        <v>15201</v>
      </c>
      <c r="I33" s="38">
        <v>1881223.7925999998</v>
      </c>
      <c r="J33" s="38">
        <v>17507.400000000001</v>
      </c>
      <c r="K33" s="38">
        <v>75403.797000000006</v>
      </c>
      <c r="L33" s="38">
        <v>703</v>
      </c>
      <c r="M33" s="38">
        <v>1173482.8734000002</v>
      </c>
      <c r="N33" s="38">
        <v>10526.6</v>
      </c>
      <c r="O33" s="38">
        <v>1386544.3280999998</v>
      </c>
      <c r="P33" s="38">
        <v>12471.9</v>
      </c>
    </row>
    <row r="34" spans="1:16" ht="23.25">
      <c r="A34" s="35" t="s">
        <v>1854</v>
      </c>
      <c r="B34" s="36" t="s">
        <v>1858</v>
      </c>
      <c r="C34" s="60" t="s">
        <v>503</v>
      </c>
      <c r="D34" s="37" t="s">
        <v>1981</v>
      </c>
      <c r="E34" s="38">
        <v>409537.1581</v>
      </c>
      <c r="F34" s="38">
        <v>3641.9</v>
      </c>
      <c r="G34" s="38">
        <v>930617.68160000001</v>
      </c>
      <c r="H34" s="38">
        <v>8368.4</v>
      </c>
      <c r="I34" s="38">
        <v>564061.73049999995</v>
      </c>
      <c r="J34" s="38">
        <v>4919.5</v>
      </c>
      <c r="K34" s="38">
        <v>407964.27610000002</v>
      </c>
      <c r="L34" s="38">
        <v>3723.9</v>
      </c>
      <c r="M34" s="38">
        <v>707091.85800000001</v>
      </c>
      <c r="N34" s="38">
        <v>6342</v>
      </c>
      <c r="O34" s="38">
        <v>1256765.2130999998</v>
      </c>
      <c r="P34" s="38">
        <v>11586.9</v>
      </c>
    </row>
    <row r="35" spans="1:16" ht="23.25">
      <c r="A35" s="35" t="s">
        <v>1854</v>
      </c>
      <c r="B35" s="36" t="s">
        <v>1860</v>
      </c>
      <c r="C35" s="60" t="s">
        <v>499</v>
      </c>
      <c r="D35" s="37" t="s">
        <v>1981</v>
      </c>
      <c r="E35" s="38">
        <v>1361556.9653</v>
      </c>
      <c r="F35" s="38">
        <v>12334.7</v>
      </c>
      <c r="G35" s="38">
        <v>1394093.3446</v>
      </c>
      <c r="H35" s="38">
        <v>12705.4</v>
      </c>
      <c r="I35" s="38">
        <v>1914976.4419000002</v>
      </c>
      <c r="J35" s="38">
        <v>17808.099999999999</v>
      </c>
      <c r="K35" s="38">
        <v>1061075.2492</v>
      </c>
      <c r="L35" s="38">
        <v>9400.7999999999993</v>
      </c>
      <c r="M35" s="38">
        <v>1417340.7280999999</v>
      </c>
      <c r="N35" s="38">
        <v>13271.9</v>
      </c>
      <c r="O35" s="38">
        <v>1656215.9497</v>
      </c>
      <c r="P35" s="38">
        <v>15400.3</v>
      </c>
    </row>
    <row r="36" spans="1:16" ht="23.25">
      <c r="A36" s="35" t="s">
        <v>1854</v>
      </c>
      <c r="B36" s="36" t="s">
        <v>2003</v>
      </c>
      <c r="C36" s="60" t="s">
        <v>479</v>
      </c>
      <c r="D36" s="37" t="s">
        <v>1887</v>
      </c>
      <c r="E36" s="38">
        <v>1154450.4657999999</v>
      </c>
      <c r="F36" s="38">
        <v>10984.2</v>
      </c>
      <c r="G36" s="38">
        <v>1112417.6583</v>
      </c>
      <c r="H36" s="38">
        <v>10391.700000000001</v>
      </c>
      <c r="I36" s="38">
        <v>1143719.9454999999</v>
      </c>
      <c r="J36" s="38">
        <v>11004.5</v>
      </c>
      <c r="K36" s="38">
        <v>917039.9351</v>
      </c>
      <c r="L36" s="38">
        <v>8614.9</v>
      </c>
      <c r="M36" s="38">
        <v>1072827.8245999999</v>
      </c>
      <c r="N36" s="38">
        <v>10375.4</v>
      </c>
      <c r="O36" s="38">
        <v>740596.40120000008</v>
      </c>
      <c r="P36" s="38">
        <v>7098.8</v>
      </c>
    </row>
    <row r="37" spans="1:16" ht="23.25">
      <c r="A37" s="35" t="s">
        <v>1854</v>
      </c>
      <c r="B37" s="44" t="s">
        <v>2004</v>
      </c>
      <c r="C37" s="60">
        <v>15700003</v>
      </c>
      <c r="D37" s="37" t="s">
        <v>1981</v>
      </c>
      <c r="E37" s="38">
        <v>1271393.1909</v>
      </c>
      <c r="F37" s="38">
        <v>12059.1</v>
      </c>
      <c r="G37" s="38">
        <v>1146732.5494000001</v>
      </c>
      <c r="H37" s="38">
        <v>10900.6</v>
      </c>
      <c r="I37" s="38">
        <v>1995234.3115000001</v>
      </c>
      <c r="J37" s="38">
        <v>18888.5</v>
      </c>
      <c r="K37" s="38">
        <v>1495569.7274000002</v>
      </c>
      <c r="L37" s="38">
        <v>13822.6</v>
      </c>
      <c r="M37" s="38">
        <v>1756172.8185000001</v>
      </c>
      <c r="N37" s="38">
        <v>16381.5</v>
      </c>
      <c r="O37" s="38">
        <v>1486763.2852</v>
      </c>
      <c r="P37" s="38">
        <v>13714.8</v>
      </c>
    </row>
    <row r="38" spans="1:16" ht="23.25">
      <c r="A38" s="35" t="s">
        <v>1854</v>
      </c>
      <c r="B38" s="36" t="s">
        <v>2002</v>
      </c>
      <c r="C38" s="60" t="s">
        <v>730</v>
      </c>
      <c r="D38" s="37" t="s">
        <v>1981</v>
      </c>
      <c r="E38" s="38">
        <v>680320.39309999999</v>
      </c>
      <c r="F38" s="38">
        <v>6506.9</v>
      </c>
      <c r="G38" s="38">
        <v>225380.13580000002</v>
      </c>
      <c r="H38" s="38">
        <v>2014.2</v>
      </c>
      <c r="I38" s="38">
        <v>126030.67079999999</v>
      </c>
      <c r="J38" s="38">
        <v>1129.2</v>
      </c>
      <c r="K38" s="38">
        <v>647095.32670000009</v>
      </c>
      <c r="L38" s="38">
        <v>6023.3</v>
      </c>
      <c r="M38" s="38">
        <v>711532.54500000004</v>
      </c>
      <c r="N38" s="38">
        <v>6805</v>
      </c>
      <c r="O38" s="38">
        <v>655562.70779999997</v>
      </c>
      <c r="P38" s="38">
        <v>6092.2</v>
      </c>
    </row>
    <row r="39" spans="1:16" ht="23.25">
      <c r="A39" s="35" t="s">
        <v>1864</v>
      </c>
      <c r="B39" s="36" t="s">
        <v>1843</v>
      </c>
      <c r="C39" s="64" t="s">
        <v>1108</v>
      </c>
      <c r="D39" s="37" t="s">
        <v>1981</v>
      </c>
      <c r="E39" s="38">
        <v>93923.980249999993</v>
      </c>
      <c r="F39" s="38">
        <v>919.75</v>
      </c>
      <c r="G39" s="38">
        <v>231581.0814</v>
      </c>
      <c r="H39" s="38">
        <v>2018.6</v>
      </c>
      <c r="I39" s="38">
        <v>652082.14405</v>
      </c>
      <c r="J39" s="38">
        <v>5880.95</v>
      </c>
      <c r="K39" s="38">
        <v>503265.6225</v>
      </c>
      <c r="L39" s="38">
        <v>4352.5</v>
      </c>
      <c r="M39" s="38">
        <v>1083255.69135</v>
      </c>
      <c r="N39" s="38">
        <v>10033.65</v>
      </c>
      <c r="O39" s="38">
        <v>246356.1611</v>
      </c>
      <c r="P39" s="38">
        <v>2188.9</v>
      </c>
    </row>
    <row r="40" spans="1:16" ht="23.25">
      <c r="A40" s="35" t="s">
        <v>1864</v>
      </c>
      <c r="B40" s="36" t="s">
        <v>2005</v>
      </c>
      <c r="C40" s="60" t="s">
        <v>1149</v>
      </c>
      <c r="D40" s="37" t="s">
        <v>1981</v>
      </c>
      <c r="E40" s="38">
        <v>916539.14410000003</v>
      </c>
      <c r="F40" s="38">
        <v>8555.9</v>
      </c>
      <c r="G40" s="38">
        <v>773056.68579999998</v>
      </c>
      <c r="H40" s="38">
        <v>7364.2</v>
      </c>
      <c r="I40" s="38">
        <v>637419.90330000001</v>
      </c>
      <c r="J40" s="38">
        <v>5946.7</v>
      </c>
      <c r="K40" s="38">
        <v>1400538.8522999999</v>
      </c>
      <c r="L40" s="38">
        <v>12947.7</v>
      </c>
      <c r="M40" s="38">
        <v>2026028.0342999999</v>
      </c>
      <c r="N40" s="38">
        <v>18465.7</v>
      </c>
      <c r="O40" s="38">
        <v>1157783.5824000002</v>
      </c>
      <c r="P40" s="38">
        <v>10917.6</v>
      </c>
    </row>
    <row r="41" spans="1:16" ht="23.25">
      <c r="A41" s="35" t="s">
        <v>1864</v>
      </c>
      <c r="B41" s="36" t="s">
        <v>2006</v>
      </c>
      <c r="C41" s="60" t="s">
        <v>1123</v>
      </c>
      <c r="D41" s="37" t="s">
        <v>1981</v>
      </c>
      <c r="E41" s="38">
        <v>1403082.0215</v>
      </c>
      <c r="F41" s="38">
        <v>13678.5</v>
      </c>
      <c r="G41" s="38">
        <v>1998812.6359000001</v>
      </c>
      <c r="H41" s="38">
        <v>19214.099999999999</v>
      </c>
      <c r="I41" s="38">
        <v>1838187.1583</v>
      </c>
      <c r="J41" s="38">
        <v>17741.7</v>
      </c>
      <c r="K41" s="38">
        <v>1562804.4580000001</v>
      </c>
      <c r="L41" s="38">
        <v>14792</v>
      </c>
      <c r="M41" s="38">
        <v>2244580.1497</v>
      </c>
      <c r="N41" s="38">
        <v>21550.3</v>
      </c>
      <c r="O41" s="38">
        <v>1881393.9357999999</v>
      </c>
      <c r="P41" s="38">
        <v>18064.2</v>
      </c>
    </row>
    <row r="42" spans="1:16" ht="23.25">
      <c r="A42" s="35" t="s">
        <v>1864</v>
      </c>
      <c r="B42" s="36" t="s">
        <v>2007</v>
      </c>
      <c r="C42" s="60" t="s">
        <v>1130</v>
      </c>
      <c r="D42" s="37" t="s">
        <v>1981</v>
      </c>
      <c r="E42" s="38">
        <v>1500141.8154000002</v>
      </c>
      <c r="F42" s="38">
        <v>13734.6</v>
      </c>
      <c r="G42" s="38">
        <v>1978281.3179000001</v>
      </c>
      <c r="H42" s="38">
        <v>18532.099999999999</v>
      </c>
      <c r="I42" s="38">
        <v>2227597.3835999998</v>
      </c>
      <c r="J42" s="38">
        <v>20516.400000000001</v>
      </c>
      <c r="K42" s="38">
        <v>889468.74320000003</v>
      </c>
      <c r="L42" s="38">
        <v>8156.8</v>
      </c>
      <c r="M42" s="38">
        <v>1510326.6499000001</v>
      </c>
      <c r="N42" s="38">
        <v>14150.1</v>
      </c>
      <c r="O42" s="38">
        <v>1461899.3880999999</v>
      </c>
      <c r="P42" s="38">
        <v>13261.9</v>
      </c>
    </row>
    <row r="43" spans="1:16" ht="23.25">
      <c r="A43" s="35" t="s">
        <v>1864</v>
      </c>
      <c r="B43" s="36" t="s">
        <v>2005</v>
      </c>
      <c r="C43" s="60" t="s">
        <v>1146</v>
      </c>
      <c r="D43" s="37" t="s">
        <v>1981</v>
      </c>
      <c r="E43" s="38">
        <v>815913.72349999996</v>
      </c>
      <c r="F43" s="38">
        <v>7726.5</v>
      </c>
      <c r="G43" s="38">
        <v>1075036.3609000002</v>
      </c>
      <c r="H43" s="38">
        <v>10089.1</v>
      </c>
      <c r="I43" s="38">
        <v>1221805.6384999999</v>
      </c>
      <c r="J43" s="38">
        <v>11461.5</v>
      </c>
      <c r="K43" s="38">
        <v>210394.7953</v>
      </c>
      <c r="L43" s="38">
        <v>2004.7</v>
      </c>
      <c r="M43" s="38">
        <v>227013.86219999997</v>
      </c>
      <c r="N43" s="38">
        <v>2087.8000000000002</v>
      </c>
      <c r="O43" s="38">
        <v>1294757.6025999999</v>
      </c>
      <c r="P43" s="38">
        <v>12047.4</v>
      </c>
    </row>
    <row r="44" spans="1:16" ht="23.25">
      <c r="A44" s="35" t="s">
        <v>1864</v>
      </c>
      <c r="B44" s="36" t="s">
        <v>2008</v>
      </c>
      <c r="C44" s="60" t="s">
        <v>1139</v>
      </c>
      <c r="D44" s="37" t="s">
        <v>1981</v>
      </c>
      <c r="E44" s="38">
        <v>1018286.3582</v>
      </c>
      <c r="F44" s="38">
        <v>9991.7999999999993</v>
      </c>
      <c r="G44" s="38">
        <v>1328302.1000999999</v>
      </c>
      <c r="H44" s="38">
        <v>12899.9</v>
      </c>
      <c r="I44" s="38">
        <v>1630920.7494999999</v>
      </c>
      <c r="J44" s="38">
        <v>15800.5</v>
      </c>
      <c r="K44" s="38">
        <v>1241127.5222</v>
      </c>
      <c r="L44" s="38">
        <v>11927.8</v>
      </c>
      <c r="M44" s="38">
        <v>1534821.7804</v>
      </c>
      <c r="N44" s="38">
        <v>14869.6</v>
      </c>
      <c r="O44" s="38">
        <v>1647987.9127</v>
      </c>
      <c r="P44" s="38">
        <v>15837.3</v>
      </c>
    </row>
    <row r="45" spans="1:16" ht="23.25">
      <c r="A45" s="35" t="s">
        <v>1864</v>
      </c>
      <c r="B45" s="36" t="s">
        <v>2009</v>
      </c>
      <c r="C45" s="60" t="s">
        <v>2010</v>
      </c>
      <c r="D45" s="37" t="s">
        <v>1887</v>
      </c>
      <c r="E45" s="38">
        <v>909532.38600000006</v>
      </c>
      <c r="F45" s="38">
        <v>8664</v>
      </c>
      <c r="G45" s="38">
        <v>1350190.1975999998</v>
      </c>
      <c r="H45" s="38">
        <v>12402.4</v>
      </c>
      <c r="I45" s="38">
        <v>939485.09120000002</v>
      </c>
      <c r="J45" s="38">
        <v>8408.7999999999993</v>
      </c>
      <c r="K45" s="38">
        <v>776459.39539999992</v>
      </c>
      <c r="L45" s="38">
        <v>7354.6</v>
      </c>
      <c r="M45" s="38">
        <v>45984.894799999995</v>
      </c>
      <c r="N45" s="38">
        <v>455.2</v>
      </c>
      <c r="O45" s="38">
        <v>0</v>
      </c>
      <c r="P45" s="38">
        <v>0</v>
      </c>
    </row>
    <row r="46" spans="1:16" ht="23.25">
      <c r="A46" s="35" t="s">
        <v>1864</v>
      </c>
      <c r="B46" s="45" t="s">
        <v>1871</v>
      </c>
      <c r="C46" s="62" t="s">
        <v>1116</v>
      </c>
      <c r="D46" s="37" t="s">
        <v>475</v>
      </c>
      <c r="E46" s="38">
        <v>530353.19260000007</v>
      </c>
      <c r="F46" s="38">
        <v>5207.3999999999996</v>
      </c>
      <c r="G46" s="38">
        <v>338151.11800000002</v>
      </c>
      <c r="H46" s="38">
        <v>3282</v>
      </c>
      <c r="I46" s="38">
        <v>0</v>
      </c>
      <c r="J46" s="38">
        <v>0</v>
      </c>
      <c r="K46" s="38">
        <v>0</v>
      </c>
      <c r="L46" s="38">
        <v>0</v>
      </c>
      <c r="M46" s="38">
        <v>459635.56219999999</v>
      </c>
      <c r="N46" s="38">
        <v>4487.8</v>
      </c>
      <c r="O46" s="38">
        <v>744962.27110000001</v>
      </c>
      <c r="P46" s="38">
        <v>7228.9</v>
      </c>
    </row>
    <row r="47" spans="1:16" ht="23.25">
      <c r="A47" s="35" t="s">
        <v>1872</v>
      </c>
      <c r="B47" s="36" t="s">
        <v>1877</v>
      </c>
      <c r="C47" s="60" t="s">
        <v>708</v>
      </c>
      <c r="D47" s="37" t="s">
        <v>1981</v>
      </c>
      <c r="E47" s="38">
        <v>1932587.8995000001</v>
      </c>
      <c r="F47" s="38">
        <v>18550.5</v>
      </c>
      <c r="G47" s="38">
        <v>2147707.7840999998</v>
      </c>
      <c r="H47" s="38">
        <v>20665.900000000001</v>
      </c>
      <c r="I47" s="38">
        <v>3321503.6644000001</v>
      </c>
      <c r="J47" s="38">
        <v>31385.599999999999</v>
      </c>
      <c r="K47" s="38">
        <v>2775127.8779000002</v>
      </c>
      <c r="L47" s="38">
        <v>26422.1</v>
      </c>
      <c r="M47" s="38">
        <v>2255592.4068</v>
      </c>
      <c r="N47" s="38">
        <v>21043.200000000001</v>
      </c>
      <c r="O47" s="38">
        <v>2970447.3618000001</v>
      </c>
      <c r="P47" s="38">
        <v>28038.2</v>
      </c>
    </row>
    <row r="48" spans="1:16" ht="23.25">
      <c r="A48" s="35" t="s">
        <v>1872</v>
      </c>
      <c r="B48" s="36" t="s">
        <v>2011</v>
      </c>
      <c r="C48" s="60" t="s">
        <v>716</v>
      </c>
      <c r="D48" s="37" t="s">
        <v>1981</v>
      </c>
      <c r="E48" s="38">
        <v>736482.50379999995</v>
      </c>
      <c r="F48" s="38">
        <v>6896.2</v>
      </c>
      <c r="G48" s="38">
        <v>556183.73699999996</v>
      </c>
      <c r="H48" s="38">
        <v>5163</v>
      </c>
      <c r="I48" s="38">
        <v>682641.6801</v>
      </c>
      <c r="J48" s="38">
        <v>6419.9</v>
      </c>
      <c r="K48" s="38">
        <v>600657.23220000009</v>
      </c>
      <c r="L48" s="38">
        <v>5567.8</v>
      </c>
      <c r="M48" s="38">
        <v>673911.1544</v>
      </c>
      <c r="N48" s="38">
        <v>6395.6</v>
      </c>
      <c r="O48" s="38">
        <v>567473.78159999999</v>
      </c>
      <c r="P48" s="38">
        <v>5218.3999999999996</v>
      </c>
    </row>
    <row r="49" spans="1:16" ht="23.25">
      <c r="A49" s="35" t="s">
        <v>1872</v>
      </c>
      <c r="B49" s="36" t="s">
        <v>1876</v>
      </c>
      <c r="C49" s="60" t="s">
        <v>723</v>
      </c>
      <c r="D49" s="37" t="s">
        <v>1981</v>
      </c>
      <c r="E49" s="38">
        <v>1242551.0069000002</v>
      </c>
      <c r="F49" s="38">
        <v>12043.1</v>
      </c>
      <c r="G49" s="38">
        <v>581173.83514999994</v>
      </c>
      <c r="H49" s="38">
        <v>5489.85</v>
      </c>
      <c r="I49" s="38">
        <v>1374801.1871500001</v>
      </c>
      <c r="J49" s="38">
        <v>13087.85</v>
      </c>
      <c r="K49" s="38">
        <v>1033764.2896</v>
      </c>
      <c r="L49" s="38">
        <v>9960.4</v>
      </c>
      <c r="M49" s="38">
        <v>910136.49360000005</v>
      </c>
      <c r="N49" s="38">
        <v>8731.4</v>
      </c>
      <c r="O49" s="38">
        <v>1744629.7475999999</v>
      </c>
      <c r="P49" s="38">
        <v>16727.400000000001</v>
      </c>
    </row>
    <row r="50" spans="1:16" ht="23.25">
      <c r="A50" s="35" t="s">
        <v>1872</v>
      </c>
      <c r="B50" s="36" t="s">
        <v>2012</v>
      </c>
      <c r="C50" s="60" t="s">
        <v>730</v>
      </c>
      <c r="D50" s="37" t="s">
        <v>1981</v>
      </c>
      <c r="E50" s="38">
        <v>680320.39309999999</v>
      </c>
      <c r="F50" s="38">
        <v>6506.9</v>
      </c>
      <c r="G50" s="38">
        <v>225380.13580000002</v>
      </c>
      <c r="H50" s="38">
        <v>2014.2</v>
      </c>
      <c r="I50" s="38">
        <v>126030.67079999999</v>
      </c>
      <c r="J50" s="38">
        <v>1129.2</v>
      </c>
      <c r="K50" s="38">
        <v>647095.32670000009</v>
      </c>
      <c r="L50" s="38">
        <v>6023.3</v>
      </c>
      <c r="M50" s="38">
        <v>711532.54500000004</v>
      </c>
      <c r="N50" s="38">
        <v>6805</v>
      </c>
      <c r="O50" s="38">
        <v>655562.70779999997</v>
      </c>
      <c r="P50" s="38">
        <v>6092.2</v>
      </c>
    </row>
    <row r="51" spans="1:16" ht="23.25">
      <c r="A51" s="35" t="s">
        <v>1872</v>
      </c>
      <c r="B51" s="36" t="s">
        <v>2013</v>
      </c>
      <c r="C51" s="60" t="s">
        <v>691</v>
      </c>
      <c r="D51" s="37" t="s">
        <v>1887</v>
      </c>
      <c r="E51" s="38">
        <v>1565072.0621</v>
      </c>
      <c r="F51" s="38">
        <v>15037.9</v>
      </c>
      <c r="G51" s="38">
        <v>971515.44660000002</v>
      </c>
      <c r="H51" s="38">
        <v>9303.4</v>
      </c>
      <c r="I51" s="38">
        <v>1690769.5425999998</v>
      </c>
      <c r="J51" s="38">
        <v>16107.4</v>
      </c>
      <c r="K51" s="38">
        <v>1902603.3159</v>
      </c>
      <c r="L51" s="38">
        <v>18184.099999999999</v>
      </c>
      <c r="M51" s="38">
        <v>1461167.9729000002</v>
      </c>
      <c r="N51" s="38">
        <v>13877.1</v>
      </c>
      <c r="O51" s="38">
        <v>2153150.0326999999</v>
      </c>
      <c r="P51" s="38">
        <v>20317.3</v>
      </c>
    </row>
    <row r="52" spans="1:16" ht="23.25">
      <c r="A52" s="35" t="s">
        <v>1872</v>
      </c>
      <c r="B52" s="36" t="s">
        <v>679</v>
      </c>
      <c r="C52" s="62" t="s">
        <v>701</v>
      </c>
      <c r="D52" s="37" t="s">
        <v>475</v>
      </c>
      <c r="E52" s="38">
        <v>2028778.9767</v>
      </c>
      <c r="F52" s="38">
        <v>18873.3</v>
      </c>
      <c r="G52" s="38">
        <v>1435622.2704</v>
      </c>
      <c r="H52" s="38">
        <v>13429.6</v>
      </c>
      <c r="I52" s="38">
        <v>2360853.392</v>
      </c>
      <c r="J52" s="38">
        <v>22583</v>
      </c>
      <c r="K52" s="38">
        <v>205928.4884</v>
      </c>
      <c r="L52" s="38">
        <v>1961.6</v>
      </c>
      <c r="M52" s="38">
        <v>271186.39645</v>
      </c>
      <c r="N52" s="38">
        <v>2578.5500000000002</v>
      </c>
      <c r="O52" s="38">
        <v>342216.66010000004</v>
      </c>
      <c r="P52" s="38">
        <v>3139.9</v>
      </c>
    </row>
    <row r="53" spans="1:16" ht="23.25">
      <c r="A53" s="35" t="s">
        <v>1879</v>
      </c>
      <c r="B53" s="36" t="s">
        <v>2014</v>
      </c>
      <c r="C53" s="60" t="s">
        <v>790</v>
      </c>
      <c r="D53" s="37" t="s">
        <v>1981</v>
      </c>
      <c r="E53" s="38">
        <v>127542.5392</v>
      </c>
      <c r="F53" s="38">
        <v>1260.8</v>
      </c>
      <c r="G53" s="38">
        <v>224190.53319999998</v>
      </c>
      <c r="H53" s="38">
        <v>2116.8000000000002</v>
      </c>
      <c r="I53" s="38">
        <v>259764.75769999999</v>
      </c>
      <c r="J53" s="38">
        <v>2542.3000000000002</v>
      </c>
      <c r="K53" s="38">
        <v>149772.65969999999</v>
      </c>
      <c r="L53" s="38">
        <v>1390.3</v>
      </c>
      <c r="M53" s="38">
        <v>160590.19930000001</v>
      </c>
      <c r="N53" s="38">
        <v>1550.7</v>
      </c>
      <c r="O53" s="38">
        <v>251162.5557</v>
      </c>
      <c r="P53" s="38">
        <v>2394.3000000000002</v>
      </c>
    </row>
    <row r="54" spans="1:16" ht="23.25">
      <c r="A54" s="35" t="s">
        <v>1879</v>
      </c>
      <c r="B54" s="36" t="s">
        <v>1882</v>
      </c>
      <c r="C54" s="60">
        <v>15700002</v>
      </c>
      <c r="D54" s="37" t="s">
        <v>475</v>
      </c>
      <c r="E54" s="38">
        <v>509859.82380000001</v>
      </c>
      <c r="F54" s="38">
        <v>4826.2</v>
      </c>
      <c r="G54" s="38">
        <v>542972.26459999999</v>
      </c>
      <c r="H54" s="38">
        <v>4835.3999999999996</v>
      </c>
      <c r="I54" s="38">
        <v>1133197.2887000002</v>
      </c>
      <c r="J54" s="38">
        <v>10411.299999999999</v>
      </c>
      <c r="K54" s="38">
        <v>775586.55979999993</v>
      </c>
      <c r="L54" s="38">
        <v>7040.2</v>
      </c>
      <c r="M54" s="38">
        <v>1476960.7285999998</v>
      </c>
      <c r="N54" s="38">
        <v>13621.4</v>
      </c>
      <c r="O54" s="38">
        <v>997923.05370000005</v>
      </c>
      <c r="P54" s="38">
        <v>9346.2999999999993</v>
      </c>
    </row>
    <row r="55" spans="1:16" ht="23.25">
      <c r="A55" s="35" t="s">
        <v>1879</v>
      </c>
      <c r="B55" s="36" t="s">
        <v>1843</v>
      </c>
      <c r="C55" s="60" t="s">
        <v>754</v>
      </c>
      <c r="D55" s="37" t="s">
        <v>1981</v>
      </c>
      <c r="E55" s="38">
        <v>0</v>
      </c>
      <c r="F55" s="38">
        <v>0</v>
      </c>
      <c r="G55" s="38">
        <v>0</v>
      </c>
      <c r="H55" s="38">
        <v>0</v>
      </c>
      <c r="I55" s="38">
        <v>0</v>
      </c>
      <c r="J55" s="38">
        <v>0</v>
      </c>
      <c r="K55" s="38">
        <v>0</v>
      </c>
      <c r="L55" s="38">
        <v>0</v>
      </c>
      <c r="M55" s="38">
        <v>424932.19410000002</v>
      </c>
      <c r="N55" s="38">
        <v>3405.9</v>
      </c>
      <c r="O55" s="38">
        <v>353407.99289999995</v>
      </c>
      <c r="P55" s="38">
        <v>3357.1</v>
      </c>
    </row>
    <row r="56" spans="1:16" ht="23.25">
      <c r="A56" s="35" t="s">
        <v>1879</v>
      </c>
      <c r="B56" s="36" t="s">
        <v>1883</v>
      </c>
      <c r="C56" s="60" t="s">
        <v>765</v>
      </c>
      <c r="D56" s="37" t="s">
        <v>1981</v>
      </c>
      <c r="E56" s="38">
        <v>641852.2472000001</v>
      </c>
      <c r="F56" s="38">
        <v>6252.8</v>
      </c>
      <c r="G56" s="38">
        <v>613642.28910000005</v>
      </c>
      <c r="H56" s="38">
        <v>5910.9</v>
      </c>
      <c r="I56" s="38">
        <v>764211.55720000004</v>
      </c>
      <c r="J56" s="38">
        <v>7492.8</v>
      </c>
      <c r="K56" s="38">
        <v>553657.41560000007</v>
      </c>
      <c r="L56" s="38">
        <v>5384.4</v>
      </c>
      <c r="M56" s="38">
        <v>496036.6874</v>
      </c>
      <c r="N56" s="38">
        <v>4812.6000000000004</v>
      </c>
      <c r="O56" s="38">
        <v>1502580.6745999998</v>
      </c>
      <c r="P56" s="38">
        <v>14725.4</v>
      </c>
    </row>
    <row r="57" spans="1:16" ht="23.25">
      <c r="A57" s="35" t="s">
        <v>1879</v>
      </c>
      <c r="B57" s="36" t="s">
        <v>2015</v>
      </c>
      <c r="C57" s="60" t="s">
        <v>757</v>
      </c>
      <c r="D57" s="37" t="s">
        <v>1887</v>
      </c>
      <c r="E57" s="38">
        <v>1220012.1231</v>
      </c>
      <c r="F57" s="38">
        <v>11426.9</v>
      </c>
      <c r="G57" s="38">
        <v>895542.18290000001</v>
      </c>
      <c r="H57" s="38">
        <v>8417.1</v>
      </c>
      <c r="I57" s="38">
        <v>967896.99979999999</v>
      </c>
      <c r="J57" s="38">
        <v>8300.2000000000007</v>
      </c>
      <c r="K57" s="38">
        <v>541334.58970000001</v>
      </c>
      <c r="L57" s="38">
        <v>5210.3</v>
      </c>
      <c r="M57" s="38">
        <v>687151.07220000005</v>
      </c>
      <c r="N57" s="38">
        <v>6427.8</v>
      </c>
      <c r="O57" s="38">
        <v>1000576.2602</v>
      </c>
      <c r="P57" s="38">
        <v>9589.7999999999993</v>
      </c>
    </row>
    <row r="58" spans="1:16" ht="23.25">
      <c r="A58" s="35" t="s">
        <v>1879</v>
      </c>
      <c r="B58" s="36" t="s">
        <v>2016</v>
      </c>
      <c r="C58" s="60" t="s">
        <v>776</v>
      </c>
      <c r="D58" s="37" t="s">
        <v>475</v>
      </c>
      <c r="E58" s="38">
        <v>1318179.1102</v>
      </c>
      <c r="F58" s="38">
        <v>10489.8</v>
      </c>
      <c r="G58" s="38">
        <v>825092.08929999999</v>
      </c>
      <c r="H58" s="38">
        <v>7510.7</v>
      </c>
      <c r="I58" s="38">
        <v>1299024.1472</v>
      </c>
      <c r="J58" s="38">
        <v>11952.8</v>
      </c>
      <c r="K58" s="38">
        <v>703792.36379999993</v>
      </c>
      <c r="L58" s="38">
        <v>6436.2</v>
      </c>
      <c r="M58" s="38">
        <v>1247853.6487999998</v>
      </c>
      <c r="N58" s="38">
        <v>11451.2</v>
      </c>
      <c r="O58" s="38">
        <v>1085816.3555999999</v>
      </c>
      <c r="P58" s="38">
        <v>9794.4</v>
      </c>
    </row>
    <row r="59" spans="1:16" ht="23.25">
      <c r="A59" s="35" t="s">
        <v>1879</v>
      </c>
      <c r="B59" s="36" t="s">
        <v>2017</v>
      </c>
      <c r="C59" s="60" t="s">
        <v>769</v>
      </c>
      <c r="D59" s="37" t="s">
        <v>1981</v>
      </c>
      <c r="E59" s="38">
        <v>836145.65910000005</v>
      </c>
      <c r="F59" s="38">
        <v>7790.9</v>
      </c>
      <c r="G59" s="38">
        <v>626654.16899999999</v>
      </c>
      <c r="H59" s="38">
        <v>5831</v>
      </c>
      <c r="I59" s="38">
        <v>452499.19</v>
      </c>
      <c r="J59" s="38">
        <v>4210</v>
      </c>
      <c r="K59" s="38">
        <v>24142.2893</v>
      </c>
      <c r="L59" s="38">
        <v>210.7</v>
      </c>
      <c r="M59" s="38">
        <v>572268.28049999999</v>
      </c>
      <c r="N59" s="38">
        <v>5369.5</v>
      </c>
      <c r="O59" s="38">
        <v>646265.77610000002</v>
      </c>
      <c r="P59" s="38">
        <v>6173.9</v>
      </c>
    </row>
    <row r="60" spans="1:16" ht="23.25">
      <c r="A60" s="35" t="s">
        <v>1884</v>
      </c>
      <c r="B60" s="36" t="s">
        <v>2018</v>
      </c>
      <c r="C60" s="60" t="s">
        <v>1209</v>
      </c>
      <c r="D60" s="37" t="s">
        <v>1981</v>
      </c>
      <c r="E60" s="38">
        <v>217466.5741</v>
      </c>
      <c r="F60" s="38">
        <v>1875.9</v>
      </c>
      <c r="G60" s="38">
        <v>106436.92659999999</v>
      </c>
      <c r="H60" s="38">
        <v>973.4</v>
      </c>
      <c r="I60" s="38">
        <v>186095.05840000001</v>
      </c>
      <c r="J60" s="38">
        <v>1591.6</v>
      </c>
      <c r="K60" s="38">
        <v>277456.3138</v>
      </c>
      <c r="L60" s="38">
        <v>2386.1999999999998</v>
      </c>
      <c r="M60" s="38">
        <v>227283.94130000001</v>
      </c>
      <c r="N60" s="38">
        <v>1708.7</v>
      </c>
      <c r="O60" s="38">
        <v>136005.4547</v>
      </c>
      <c r="P60" s="38">
        <v>1095.3</v>
      </c>
    </row>
    <row r="61" spans="1:16" ht="23.25">
      <c r="A61" s="35" t="s">
        <v>1884</v>
      </c>
      <c r="B61" s="36" t="s">
        <v>2019</v>
      </c>
      <c r="C61" s="60" t="s">
        <v>1220</v>
      </c>
      <c r="D61" s="37" t="s">
        <v>1981</v>
      </c>
      <c r="E61" s="38">
        <v>0</v>
      </c>
      <c r="F61" s="38">
        <v>0</v>
      </c>
      <c r="G61" s="38">
        <v>0</v>
      </c>
      <c r="H61" s="38">
        <v>0</v>
      </c>
      <c r="I61" s="38">
        <v>11503.8863</v>
      </c>
      <c r="J61" s="38">
        <v>113.7</v>
      </c>
      <c r="K61" s="38">
        <v>128964.96159653466</v>
      </c>
      <c r="L61" s="38">
        <v>1238.4034653465346</v>
      </c>
      <c r="M61" s="38">
        <v>189657.0281638614</v>
      </c>
      <c r="N61" s="38">
        <v>1821.8361386138613</v>
      </c>
      <c r="O61" s="38">
        <v>58492.222672277225</v>
      </c>
      <c r="P61" s="38">
        <v>577.32772277227718</v>
      </c>
    </row>
    <row r="62" spans="1:16" ht="23.25">
      <c r="A62" s="35" t="s">
        <v>1884</v>
      </c>
      <c r="B62" s="36" t="s">
        <v>2020</v>
      </c>
      <c r="C62" s="60" t="s">
        <v>1169</v>
      </c>
      <c r="D62" s="37" t="s">
        <v>1887</v>
      </c>
      <c r="E62" s="38">
        <v>855055.17779999995</v>
      </c>
      <c r="F62" s="38">
        <v>7972.2</v>
      </c>
      <c r="G62" s="38">
        <v>712717.39670000004</v>
      </c>
      <c r="H62" s="38">
        <v>6303.3</v>
      </c>
      <c r="I62" s="38">
        <v>852914.24410000001</v>
      </c>
      <c r="J62" s="38">
        <v>7005.9</v>
      </c>
      <c r="K62" s="38">
        <v>686916.38320000004</v>
      </c>
      <c r="L62" s="38">
        <v>5766.8</v>
      </c>
      <c r="M62" s="38">
        <v>729844.64620000008</v>
      </c>
      <c r="N62" s="38">
        <v>6403.8</v>
      </c>
      <c r="O62" s="38">
        <v>486328.24660000001</v>
      </c>
      <c r="P62" s="38">
        <v>4453.3999999999996</v>
      </c>
    </row>
    <row r="63" spans="1:16" ht="23.25">
      <c r="A63" s="35" t="s">
        <v>1884</v>
      </c>
      <c r="B63" s="39" t="s">
        <v>2021</v>
      </c>
      <c r="C63" s="61" t="s">
        <v>2022</v>
      </c>
      <c r="D63" s="37" t="s">
        <v>1887</v>
      </c>
      <c r="E63" s="38">
        <v>0</v>
      </c>
      <c r="F63" s="38">
        <v>0</v>
      </c>
      <c r="G63" s="38">
        <v>164264.4037</v>
      </c>
      <c r="H63" s="38">
        <v>1546.3</v>
      </c>
      <c r="I63" s="38">
        <v>212101.58969999998</v>
      </c>
      <c r="J63" s="38">
        <v>1860.3</v>
      </c>
      <c r="K63" s="38">
        <v>191738.9424</v>
      </c>
      <c r="L63" s="38">
        <v>1607.6</v>
      </c>
      <c r="M63" s="38">
        <v>0</v>
      </c>
      <c r="N63" s="38">
        <v>0</v>
      </c>
      <c r="O63" s="38">
        <v>0</v>
      </c>
      <c r="P63" s="38">
        <v>0</v>
      </c>
    </row>
    <row r="64" spans="1:16" ht="23.25">
      <c r="A64" s="35" t="s">
        <v>1884</v>
      </c>
      <c r="B64" s="39" t="s">
        <v>2023</v>
      </c>
      <c r="C64" s="61" t="s">
        <v>1679</v>
      </c>
      <c r="D64" s="37" t="s">
        <v>1981</v>
      </c>
      <c r="E64" s="38">
        <v>0</v>
      </c>
      <c r="F64" s="38">
        <v>0</v>
      </c>
      <c r="G64" s="38">
        <v>0</v>
      </c>
      <c r="H64" s="38">
        <v>0</v>
      </c>
      <c r="I64" s="38">
        <v>189063.12806930693</v>
      </c>
      <c r="J64" s="38">
        <v>1871.9306930693069</v>
      </c>
      <c r="K64" s="38">
        <v>735641.06681683171</v>
      </c>
      <c r="L64" s="38">
        <v>7233.1831683168321</v>
      </c>
      <c r="M64" s="38">
        <v>507074.7353376238</v>
      </c>
      <c r="N64" s="38">
        <v>5014.662376237623</v>
      </c>
      <c r="O64" s="38">
        <v>55084.854599999999</v>
      </c>
      <c r="P64" s="38">
        <v>545.4</v>
      </c>
    </row>
    <row r="65" spans="1:16" ht="23.25">
      <c r="A65" s="35" t="s">
        <v>1884</v>
      </c>
      <c r="B65" s="36" t="s">
        <v>2024</v>
      </c>
      <c r="C65" s="60">
        <v>15700001</v>
      </c>
      <c r="D65" s="37" t="s">
        <v>1981</v>
      </c>
      <c r="E65" s="38">
        <v>0</v>
      </c>
      <c r="F65" s="38">
        <v>0</v>
      </c>
      <c r="G65" s="38">
        <v>292511.1603534653</v>
      </c>
      <c r="H65" s="38">
        <v>2889.6465346534651</v>
      </c>
      <c r="I65" s="38">
        <v>617224.76377326727</v>
      </c>
      <c r="J65" s="38">
        <v>6036.2267326732672</v>
      </c>
      <c r="K65" s="38">
        <v>444430.06744653464</v>
      </c>
      <c r="L65" s="38">
        <v>4382.5534653465347</v>
      </c>
      <c r="M65" s="38">
        <v>773359.06274851493</v>
      </c>
      <c r="N65" s="38">
        <v>7587.2514851485148</v>
      </c>
      <c r="O65" s="38">
        <v>139501.72883069306</v>
      </c>
      <c r="P65" s="38">
        <v>1371.1693069306932</v>
      </c>
    </row>
    <row r="66" spans="1:16" ht="23.25">
      <c r="A66" s="35" t="s">
        <v>1884</v>
      </c>
      <c r="B66" s="36" t="s">
        <v>2025</v>
      </c>
      <c r="C66" s="60" t="s">
        <v>1191</v>
      </c>
      <c r="D66" s="37" t="s">
        <v>475</v>
      </c>
      <c r="E66" s="38">
        <v>576810.54350297037</v>
      </c>
      <c r="F66" s="38">
        <v>5656.4970297029695</v>
      </c>
      <c r="G66" s="38">
        <v>715905.55284554453</v>
      </c>
      <c r="H66" s="38">
        <v>7047.154455445545</v>
      </c>
      <c r="I66" s="38">
        <v>1096782.9431316832</v>
      </c>
      <c r="J66" s="38">
        <v>10756.868316831684</v>
      </c>
      <c r="K66" s="38">
        <v>769049.81987920799</v>
      </c>
      <c r="L66" s="38">
        <v>7480.1207920792076</v>
      </c>
      <c r="M66" s="38">
        <v>1295041.9405475247</v>
      </c>
      <c r="N66" s="38">
        <v>12759.452475247524</v>
      </c>
      <c r="O66" s="38">
        <v>652694.156429703</v>
      </c>
      <c r="P66" s="38">
        <v>6443.5702970297025</v>
      </c>
    </row>
    <row r="67" spans="1:16" ht="23.25">
      <c r="A67" s="35" t="s">
        <v>1884</v>
      </c>
      <c r="B67" s="36" t="s">
        <v>2026</v>
      </c>
      <c r="C67" s="60" t="s">
        <v>1233</v>
      </c>
      <c r="D67" s="37" t="s">
        <v>1887</v>
      </c>
      <c r="E67" s="38">
        <v>0</v>
      </c>
      <c r="F67" s="38">
        <v>0</v>
      </c>
      <c r="G67" s="38">
        <v>123176.5937</v>
      </c>
      <c r="H67" s="38">
        <v>1056.3</v>
      </c>
      <c r="I67" s="38">
        <v>214846.6153</v>
      </c>
      <c r="J67" s="38">
        <v>1884.7</v>
      </c>
      <c r="K67" s="38">
        <v>42437.083299999998</v>
      </c>
      <c r="L67" s="38">
        <v>266.7</v>
      </c>
      <c r="M67" s="38">
        <v>107488.21090000001</v>
      </c>
      <c r="N67" s="38">
        <v>739.1</v>
      </c>
      <c r="O67" s="38">
        <v>82698.335500000001</v>
      </c>
      <c r="P67" s="38">
        <v>714.5</v>
      </c>
    </row>
    <row r="68" spans="1:16" ht="23.25">
      <c r="A68" s="35" t="s">
        <v>1884</v>
      </c>
      <c r="B68" s="39" t="s">
        <v>2027</v>
      </c>
      <c r="C68" s="61" t="s">
        <v>1314</v>
      </c>
      <c r="D68" s="37" t="s">
        <v>1981</v>
      </c>
      <c r="E68" s="38">
        <v>0</v>
      </c>
      <c r="F68" s="38">
        <v>0</v>
      </c>
      <c r="G68" s="38">
        <v>0</v>
      </c>
      <c r="H68" s="38">
        <v>0</v>
      </c>
      <c r="I68" s="38">
        <v>0</v>
      </c>
      <c r="J68" s="38">
        <v>0</v>
      </c>
      <c r="K68" s="38">
        <v>0</v>
      </c>
      <c r="L68" s="38">
        <v>0</v>
      </c>
      <c r="M68" s="38">
        <v>0</v>
      </c>
      <c r="N68" s="38">
        <v>0</v>
      </c>
      <c r="O68" s="38">
        <v>0</v>
      </c>
      <c r="P68" s="38">
        <v>0</v>
      </c>
    </row>
    <row r="69" spans="1:16" ht="23.25">
      <c r="A69" s="35" t="s">
        <v>1884</v>
      </c>
      <c r="B69" s="39" t="s">
        <v>2028</v>
      </c>
      <c r="C69" s="61" t="s">
        <v>1316</v>
      </c>
      <c r="D69" s="37" t="s">
        <v>1981</v>
      </c>
      <c r="E69" s="38">
        <v>0</v>
      </c>
      <c r="F69" s="38">
        <v>0</v>
      </c>
      <c r="G69" s="38">
        <v>0</v>
      </c>
      <c r="H69" s="38">
        <v>0</v>
      </c>
      <c r="I69" s="38">
        <v>0</v>
      </c>
      <c r="J69" s="38">
        <v>0</v>
      </c>
      <c r="K69" s="38">
        <v>0</v>
      </c>
      <c r="L69" s="38">
        <v>0</v>
      </c>
      <c r="M69" s="38">
        <v>0</v>
      </c>
      <c r="N69" s="38">
        <v>0</v>
      </c>
      <c r="O69" s="38">
        <v>0</v>
      </c>
      <c r="P69" s="38">
        <v>0</v>
      </c>
    </row>
    <row r="70" spans="1:16" ht="23.25">
      <c r="A70" s="35" t="s">
        <v>1907</v>
      </c>
      <c r="B70" s="36" t="s">
        <v>2029</v>
      </c>
      <c r="C70" s="60">
        <v>15700005</v>
      </c>
      <c r="D70" s="37" t="s">
        <v>1981</v>
      </c>
      <c r="E70" s="38">
        <v>1223972.5105999999</v>
      </c>
      <c r="F70" s="38">
        <v>11839.4</v>
      </c>
      <c r="G70" s="38">
        <v>1950854.8319000001</v>
      </c>
      <c r="H70" s="38">
        <v>18768.099999999999</v>
      </c>
      <c r="I70" s="38">
        <v>2137784.9154000003</v>
      </c>
      <c r="J70" s="38">
        <v>20484.599999999999</v>
      </c>
      <c r="K70" s="38">
        <v>755362.63970000006</v>
      </c>
      <c r="L70" s="38">
        <v>7260.3</v>
      </c>
      <c r="M70" s="38">
        <v>960790.20520000008</v>
      </c>
      <c r="N70" s="38">
        <v>9294.7999999999993</v>
      </c>
      <c r="O70" s="38">
        <v>683675.54320000007</v>
      </c>
      <c r="P70" s="38">
        <v>6156.8</v>
      </c>
    </row>
    <row r="71" spans="1:16" ht="23.25">
      <c r="A71" s="35" t="s">
        <v>1907</v>
      </c>
      <c r="B71" s="36" t="s">
        <v>1916</v>
      </c>
      <c r="C71" s="60" t="s">
        <v>617</v>
      </c>
      <c r="D71" s="37" t="s">
        <v>1981</v>
      </c>
      <c r="E71" s="38">
        <v>408016.28365</v>
      </c>
      <c r="F71" s="38">
        <v>4016.35</v>
      </c>
      <c r="G71" s="38">
        <v>295066.92319999996</v>
      </c>
      <c r="H71" s="38">
        <v>2876.8</v>
      </c>
      <c r="I71" s="38">
        <v>483921.57754999999</v>
      </c>
      <c r="J71" s="38">
        <v>4772.45</v>
      </c>
      <c r="K71" s="38">
        <v>261617.16259999998</v>
      </c>
      <c r="L71" s="38">
        <v>2537.4</v>
      </c>
      <c r="M71" s="38">
        <v>310340.25264999998</v>
      </c>
      <c r="N71" s="38">
        <v>3047.35</v>
      </c>
      <c r="O71" s="38">
        <v>399933.20994999999</v>
      </c>
      <c r="P71" s="38">
        <v>3940.05</v>
      </c>
    </row>
    <row r="72" spans="1:16" ht="23.25">
      <c r="A72" s="35" t="s">
        <v>1907</v>
      </c>
      <c r="B72" s="36" t="s">
        <v>2030</v>
      </c>
      <c r="C72" s="60">
        <v>15700006</v>
      </c>
      <c r="D72" s="37" t="s">
        <v>1981</v>
      </c>
      <c r="E72" s="38">
        <v>923602.77970000007</v>
      </c>
      <c r="F72" s="38">
        <v>8520.2999999999993</v>
      </c>
      <c r="G72" s="38">
        <v>993407.76710000006</v>
      </c>
      <c r="H72" s="38">
        <v>9332.9</v>
      </c>
      <c r="I72" s="38">
        <v>720740.91159999999</v>
      </c>
      <c r="J72" s="38">
        <v>6888.4</v>
      </c>
      <c r="K72" s="38">
        <v>1097462.9702999999</v>
      </c>
      <c r="L72" s="38">
        <v>9979.7000000000007</v>
      </c>
      <c r="M72" s="38">
        <v>576104.61589999998</v>
      </c>
      <c r="N72" s="38">
        <v>5484.1</v>
      </c>
      <c r="O72" s="38">
        <v>1551147.1816</v>
      </c>
      <c r="P72" s="38">
        <v>14318.4</v>
      </c>
    </row>
    <row r="73" spans="1:16" ht="23.25">
      <c r="A73" s="35" t="s">
        <v>1907</v>
      </c>
      <c r="B73" s="36" t="s">
        <v>1910</v>
      </c>
      <c r="C73" s="60" t="s">
        <v>608</v>
      </c>
      <c r="D73" s="37" t="s">
        <v>1981</v>
      </c>
      <c r="E73" s="38">
        <v>538861.80645000003</v>
      </c>
      <c r="F73" s="38">
        <v>5118.55</v>
      </c>
      <c r="G73" s="38">
        <v>535758.69570000004</v>
      </c>
      <c r="H73" s="38">
        <v>4904.3</v>
      </c>
      <c r="I73" s="38">
        <v>413071.09625</v>
      </c>
      <c r="J73" s="38">
        <v>3678.75</v>
      </c>
      <c r="K73" s="38">
        <v>630775.95295000006</v>
      </c>
      <c r="L73" s="38">
        <v>5572.05</v>
      </c>
      <c r="M73" s="38">
        <v>546916.86965000001</v>
      </c>
      <c r="N73" s="38">
        <v>5080.3500000000004</v>
      </c>
      <c r="O73" s="38">
        <v>530968.47360000003</v>
      </c>
      <c r="P73" s="38">
        <v>4651.3999999999996</v>
      </c>
    </row>
    <row r="74" spans="1:16" ht="23.25">
      <c r="A74" s="35" t="s">
        <v>1907</v>
      </c>
      <c r="B74" s="36" t="s">
        <v>2031</v>
      </c>
      <c r="C74" s="60" t="s">
        <v>612</v>
      </c>
      <c r="D74" s="37" t="s">
        <v>1981</v>
      </c>
      <c r="E74" s="38">
        <v>890208.8861</v>
      </c>
      <c r="F74" s="38">
        <v>8388.9</v>
      </c>
      <c r="G74" s="38">
        <v>500473.53660000005</v>
      </c>
      <c r="H74" s="38">
        <v>4588.3999999999996</v>
      </c>
      <c r="I74" s="38">
        <v>486952.35399999999</v>
      </c>
      <c r="J74" s="38">
        <v>4421</v>
      </c>
      <c r="K74" s="38">
        <v>155157.90065</v>
      </c>
      <c r="L74" s="38">
        <v>1399.35</v>
      </c>
      <c r="M74" s="38">
        <v>139217.82080000002</v>
      </c>
      <c r="N74" s="38">
        <v>1279.2</v>
      </c>
      <c r="O74" s="38">
        <v>407900.15730000002</v>
      </c>
      <c r="P74" s="38">
        <v>3667.7</v>
      </c>
    </row>
    <row r="75" spans="1:16" ht="23.25">
      <c r="A75" s="35" t="s">
        <v>1907</v>
      </c>
      <c r="B75" s="36" t="s">
        <v>1914</v>
      </c>
      <c r="C75" s="60" t="s">
        <v>614</v>
      </c>
      <c r="D75" s="37" t="s">
        <v>1981</v>
      </c>
      <c r="E75" s="38">
        <v>37531.729399999997</v>
      </c>
      <c r="F75" s="38">
        <v>370.6</v>
      </c>
      <c r="G75" s="38">
        <v>91774.244349999994</v>
      </c>
      <c r="H75" s="38">
        <v>905.65</v>
      </c>
      <c r="I75" s="38">
        <v>54711.679600000003</v>
      </c>
      <c r="J75" s="38">
        <v>520.4</v>
      </c>
      <c r="K75" s="38">
        <v>60013.605799999998</v>
      </c>
      <c r="L75" s="38">
        <v>594.20000000000005</v>
      </c>
      <c r="M75" s="38">
        <v>14075.719650000001</v>
      </c>
      <c r="N75" s="38">
        <v>130.35</v>
      </c>
      <c r="O75" s="38">
        <v>358949.31419999996</v>
      </c>
      <c r="P75" s="38">
        <v>3485.8</v>
      </c>
    </row>
    <row r="76" spans="1:16" ht="23.25">
      <c r="A76" s="35" t="s">
        <v>1907</v>
      </c>
      <c r="B76" s="36" t="s">
        <v>2032</v>
      </c>
      <c r="C76" s="60" t="s">
        <v>605</v>
      </c>
      <c r="D76" s="37" t="s">
        <v>1887</v>
      </c>
      <c r="E76" s="38">
        <v>709181.82529999991</v>
      </c>
      <c r="F76" s="38">
        <v>6624.7</v>
      </c>
      <c r="G76" s="38">
        <v>632785.79120000009</v>
      </c>
      <c r="H76" s="38">
        <v>5858.8</v>
      </c>
      <c r="I76" s="38">
        <v>462449.02470000001</v>
      </c>
      <c r="J76" s="38">
        <v>4175.3</v>
      </c>
      <c r="K76" s="38">
        <v>570056.7548</v>
      </c>
      <c r="L76" s="38">
        <v>5295.2</v>
      </c>
      <c r="M76" s="38">
        <v>250630.8849</v>
      </c>
      <c r="N76" s="38">
        <v>2265.1</v>
      </c>
      <c r="O76" s="38">
        <v>0</v>
      </c>
      <c r="P76" s="38">
        <v>0</v>
      </c>
    </row>
    <row r="77" spans="1:16" ht="23.25">
      <c r="A77" s="35" t="s">
        <v>1907</v>
      </c>
      <c r="B77" s="45" t="s">
        <v>2033</v>
      </c>
      <c r="C77" s="62" t="s">
        <v>621</v>
      </c>
      <c r="D77" s="37" t="s">
        <v>475</v>
      </c>
      <c r="E77" s="38">
        <v>19179.960600000002</v>
      </c>
      <c r="F77" s="38">
        <v>189.4</v>
      </c>
      <c r="G77" s="38">
        <v>395565.29389999999</v>
      </c>
      <c r="H77" s="38">
        <v>3756.1</v>
      </c>
      <c r="I77" s="38">
        <v>554577.78529999999</v>
      </c>
      <c r="J77" s="38">
        <v>5414.7</v>
      </c>
      <c r="K77" s="38">
        <v>579965.55189999996</v>
      </c>
      <c r="L77" s="38">
        <v>5648.1</v>
      </c>
      <c r="M77" s="38">
        <v>511778.97350000002</v>
      </c>
      <c r="N77" s="38">
        <v>4826.5</v>
      </c>
      <c r="O77" s="38">
        <v>1054633.6026000001</v>
      </c>
      <c r="P77" s="38">
        <v>10247.4</v>
      </c>
    </row>
    <row r="78" spans="1:16" ht="23.25">
      <c r="A78" s="35" t="s">
        <v>1920</v>
      </c>
      <c r="B78" s="39" t="s">
        <v>1927</v>
      </c>
      <c r="C78" s="61" t="s">
        <v>403</v>
      </c>
      <c r="D78" s="37" t="s">
        <v>1981</v>
      </c>
      <c r="E78" s="38">
        <v>0</v>
      </c>
      <c r="F78" s="38">
        <v>0</v>
      </c>
      <c r="G78" s="38">
        <v>0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38">
        <v>0</v>
      </c>
      <c r="N78" s="38">
        <v>0</v>
      </c>
      <c r="O78" s="38">
        <v>0</v>
      </c>
      <c r="P78" s="38">
        <v>0</v>
      </c>
    </row>
    <row r="79" spans="1:16" ht="23.25">
      <c r="A79" s="35" t="s">
        <v>1920</v>
      </c>
      <c r="B79" s="36" t="s">
        <v>1922</v>
      </c>
      <c r="C79" s="60" t="s">
        <v>375</v>
      </c>
      <c r="D79" s="37" t="s">
        <v>1981</v>
      </c>
      <c r="E79" s="38">
        <v>2345361.1734000002</v>
      </c>
      <c r="F79" s="38">
        <v>22026.6</v>
      </c>
      <c r="G79" s="38">
        <v>1583828.0676</v>
      </c>
      <c r="H79" s="38">
        <v>15132.4</v>
      </c>
      <c r="I79" s="38">
        <v>2624124.8056000001</v>
      </c>
      <c r="J79" s="38">
        <v>25144.400000000001</v>
      </c>
      <c r="K79" s="38">
        <v>2811060.1455000001</v>
      </c>
      <c r="L79" s="38">
        <v>27004.5</v>
      </c>
      <c r="M79" s="38">
        <v>2587821.7940000002</v>
      </c>
      <c r="N79" s="38">
        <v>24706</v>
      </c>
      <c r="O79" s="38">
        <v>1974865.3673</v>
      </c>
      <c r="P79" s="38">
        <v>18632.7</v>
      </c>
    </row>
    <row r="80" spans="1:16" ht="23.25">
      <c r="A80" s="35" t="s">
        <v>1920</v>
      </c>
      <c r="B80" s="36" t="s">
        <v>1925</v>
      </c>
      <c r="C80" s="60" t="s">
        <v>411</v>
      </c>
      <c r="D80" s="37" t="s">
        <v>1981</v>
      </c>
      <c r="E80" s="38">
        <v>1313388.6276</v>
      </c>
      <c r="F80" s="38">
        <v>12872.4</v>
      </c>
      <c r="G80" s="38">
        <v>849698.0162999999</v>
      </c>
      <c r="H80" s="38">
        <v>8283.7000000000007</v>
      </c>
      <c r="I80" s="38">
        <v>1165464.3626999999</v>
      </c>
      <c r="J80" s="38">
        <v>11237.3</v>
      </c>
      <c r="K80" s="38">
        <v>671497.61939999997</v>
      </c>
      <c r="L80" s="38">
        <v>6530.6</v>
      </c>
      <c r="M80" s="38">
        <v>207495.58100000001</v>
      </c>
      <c r="N80" s="38">
        <v>2019</v>
      </c>
      <c r="O80" s="38">
        <v>656820.37120000005</v>
      </c>
      <c r="P80" s="38">
        <v>6328.8</v>
      </c>
    </row>
    <row r="81" spans="1:16" ht="23.25">
      <c r="A81" s="35" t="s">
        <v>1920</v>
      </c>
      <c r="B81" s="36" t="s">
        <v>2034</v>
      </c>
      <c r="C81" s="60" t="s">
        <v>393</v>
      </c>
      <c r="D81" s="37" t="s">
        <v>1981</v>
      </c>
      <c r="E81" s="38">
        <v>2194566.9271999998</v>
      </c>
      <c r="F81" s="38">
        <v>21272.799999999999</v>
      </c>
      <c r="G81" s="38">
        <v>1508414.5629</v>
      </c>
      <c r="H81" s="38">
        <v>14487.1</v>
      </c>
      <c r="I81" s="38">
        <v>1809076.3519000001</v>
      </c>
      <c r="J81" s="38">
        <v>17148.099999999999</v>
      </c>
      <c r="K81" s="38">
        <v>2706759.2164000003</v>
      </c>
      <c r="L81" s="38">
        <v>26133.599999999999</v>
      </c>
      <c r="M81" s="38">
        <v>2655437.0860000001</v>
      </c>
      <c r="N81" s="38">
        <v>25414</v>
      </c>
      <c r="O81" s="38">
        <v>1893815.8419000001</v>
      </c>
      <c r="P81" s="38">
        <v>18358.099999999999</v>
      </c>
    </row>
    <row r="82" spans="1:16" ht="23.25">
      <c r="A82" s="35" t="s">
        <v>1920</v>
      </c>
      <c r="B82" s="39" t="s">
        <v>2035</v>
      </c>
      <c r="C82" s="61" t="s">
        <v>380</v>
      </c>
      <c r="D82" s="37" t="s">
        <v>1887</v>
      </c>
      <c r="E82" s="38">
        <v>0</v>
      </c>
      <c r="F82" s="38">
        <v>0</v>
      </c>
      <c r="G82" s="38">
        <v>0</v>
      </c>
      <c r="H82" s="38">
        <v>0</v>
      </c>
      <c r="I82" s="38">
        <v>0</v>
      </c>
      <c r="J82" s="38">
        <v>0</v>
      </c>
      <c r="K82" s="38">
        <v>0</v>
      </c>
      <c r="L82" s="38">
        <v>0</v>
      </c>
      <c r="M82" s="38">
        <v>0</v>
      </c>
      <c r="N82" s="38">
        <v>0</v>
      </c>
      <c r="O82" s="38">
        <v>508271.21539999999</v>
      </c>
      <c r="P82" s="38">
        <v>4834.6000000000004</v>
      </c>
    </row>
    <row r="83" spans="1:16" ht="23.25">
      <c r="A83" s="35" t="s">
        <v>1920</v>
      </c>
      <c r="B83" s="36" t="s">
        <v>2036</v>
      </c>
      <c r="C83" s="60" t="s">
        <v>427</v>
      </c>
      <c r="D83" s="37" t="s">
        <v>475</v>
      </c>
      <c r="E83" s="38">
        <v>157990.92145841583</v>
      </c>
      <c r="F83" s="38">
        <v>1378.5415841584158</v>
      </c>
      <c r="G83" s="38">
        <v>175253.92816633661</v>
      </c>
      <c r="H83" s="38">
        <v>1571.8336633663366</v>
      </c>
      <c r="I83" s="38">
        <v>253644.0110811881</v>
      </c>
      <c r="J83" s="38">
        <v>2388.9188118811885</v>
      </c>
      <c r="K83" s="38">
        <v>52331.189929702967</v>
      </c>
      <c r="L83" s="38">
        <v>460.07029702970294</v>
      </c>
      <c r="M83" s="38">
        <v>303109.94238415844</v>
      </c>
      <c r="N83" s="38">
        <v>2857.6158415841583</v>
      </c>
      <c r="O83" s="38">
        <v>283937.52703465347</v>
      </c>
      <c r="P83" s="38">
        <v>2672.9653465346537</v>
      </c>
    </row>
    <row r="84" spans="1:16" ht="23.25">
      <c r="A84" s="35" t="s">
        <v>1920</v>
      </c>
      <c r="B84" s="36" t="s">
        <v>1928</v>
      </c>
      <c r="C84" s="60" t="s">
        <v>418</v>
      </c>
      <c r="D84" s="37" t="s">
        <v>475</v>
      </c>
      <c r="E84" s="38">
        <v>310595.61050000001</v>
      </c>
      <c r="F84" s="38">
        <v>2939.5</v>
      </c>
      <c r="G84" s="38">
        <v>0</v>
      </c>
      <c r="H84" s="38">
        <v>0</v>
      </c>
      <c r="I84" s="38">
        <v>52464.141100000001</v>
      </c>
      <c r="J84" s="38">
        <v>508.9</v>
      </c>
      <c r="K84" s="38">
        <v>61896.603299999995</v>
      </c>
      <c r="L84" s="38">
        <v>596.70000000000005</v>
      </c>
      <c r="M84" s="38">
        <v>252103.03819999998</v>
      </c>
      <c r="N84" s="38">
        <v>2361.8000000000002</v>
      </c>
      <c r="O84" s="38">
        <v>427881.44689999998</v>
      </c>
      <c r="P84" s="38">
        <v>3953.1</v>
      </c>
    </row>
    <row r="85" spans="1:16" ht="23.25">
      <c r="A85" s="35" t="s">
        <v>1929</v>
      </c>
      <c r="B85" s="39" t="s">
        <v>2037</v>
      </c>
      <c r="C85" s="61" t="s">
        <v>2038</v>
      </c>
      <c r="D85" s="37" t="s">
        <v>475</v>
      </c>
      <c r="E85" s="38">
        <v>458167.52864356432</v>
      </c>
      <c r="F85" s="38">
        <v>4471.3564356435645</v>
      </c>
      <c r="G85" s="38">
        <v>0</v>
      </c>
      <c r="H85" s="38">
        <v>0</v>
      </c>
      <c r="I85" s="38">
        <v>0</v>
      </c>
      <c r="J85" s="38">
        <v>0</v>
      </c>
      <c r="K85" s="38">
        <v>0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</row>
    <row r="86" spans="1:16" ht="23.25">
      <c r="A86" s="35" t="s">
        <v>1929</v>
      </c>
      <c r="B86" s="36" t="s">
        <v>2039</v>
      </c>
      <c r="C86" s="60" t="s">
        <v>472</v>
      </c>
      <c r="D86" s="37" t="s">
        <v>475</v>
      </c>
      <c r="E86" s="38">
        <v>0</v>
      </c>
      <c r="F86" s="38">
        <v>0</v>
      </c>
      <c r="G86" s="38">
        <v>0</v>
      </c>
      <c r="H86" s="38">
        <v>0</v>
      </c>
      <c r="I86" s="38">
        <v>0</v>
      </c>
      <c r="J86" s="38">
        <v>0</v>
      </c>
      <c r="K86" s="38">
        <v>120652.23050000001</v>
      </c>
      <c r="L86" s="38">
        <v>1169.5</v>
      </c>
      <c r="M86" s="38">
        <v>140537.30359999998</v>
      </c>
      <c r="N86" s="38">
        <v>1346.4</v>
      </c>
      <c r="O86" s="38">
        <v>211492.24540000001</v>
      </c>
      <c r="P86" s="38">
        <v>2054.6</v>
      </c>
    </row>
    <row r="87" spans="1:16" ht="23.25">
      <c r="A87" s="35" t="s">
        <v>1929</v>
      </c>
      <c r="B87" s="36" t="s">
        <v>1932</v>
      </c>
      <c r="C87" s="60" t="s">
        <v>446</v>
      </c>
      <c r="D87" s="37" t="s">
        <v>1981</v>
      </c>
      <c r="E87" s="38">
        <v>1236591.1472</v>
      </c>
      <c r="F87" s="38">
        <v>11352.8</v>
      </c>
      <c r="G87" s="38">
        <v>1403171.4027</v>
      </c>
      <c r="H87" s="38">
        <v>12497.3</v>
      </c>
      <c r="I87" s="38">
        <v>2075402.2069000001</v>
      </c>
      <c r="J87" s="38">
        <v>18343.099999999999</v>
      </c>
      <c r="K87" s="38">
        <v>1761096.1417999999</v>
      </c>
      <c r="L87" s="38">
        <v>15508.2</v>
      </c>
      <c r="M87" s="38">
        <v>1427680.2509999999</v>
      </c>
      <c r="N87" s="38">
        <v>13049</v>
      </c>
      <c r="O87" s="38">
        <v>1583811.4432000001</v>
      </c>
      <c r="P87" s="38">
        <v>13956.8</v>
      </c>
    </row>
    <row r="88" spans="1:16" ht="23.25">
      <c r="A88" s="35" t="s">
        <v>1929</v>
      </c>
      <c r="B88" s="36" t="s">
        <v>2040</v>
      </c>
      <c r="C88" s="60" t="s">
        <v>435</v>
      </c>
      <c r="D88" s="37" t="s">
        <v>1887</v>
      </c>
      <c r="E88" s="38">
        <v>392974.94750000001</v>
      </c>
      <c r="F88" s="38">
        <v>3402.5</v>
      </c>
      <c r="G88" s="38">
        <v>454922.41989999998</v>
      </c>
      <c r="H88" s="38">
        <v>3980.1</v>
      </c>
      <c r="I88" s="38">
        <v>607626.96649999998</v>
      </c>
      <c r="J88" s="38">
        <v>5283.5</v>
      </c>
      <c r="K88" s="38">
        <v>571632.26360000006</v>
      </c>
      <c r="L88" s="38">
        <v>4986.3999999999996</v>
      </c>
      <c r="M88" s="38">
        <v>347858.70630000002</v>
      </c>
      <c r="N88" s="38">
        <v>3043.7</v>
      </c>
      <c r="O88" s="38">
        <v>418498.62</v>
      </c>
      <c r="P88" s="38">
        <v>3730</v>
      </c>
    </row>
    <row r="89" spans="1:16" ht="23.25">
      <c r="A89" s="35" t="s">
        <v>1929</v>
      </c>
      <c r="B89" s="36" t="s">
        <v>2041</v>
      </c>
      <c r="C89" s="60" t="s">
        <v>454</v>
      </c>
      <c r="D89" s="37" t="s">
        <v>1981</v>
      </c>
      <c r="E89" s="38">
        <v>617557.78859999997</v>
      </c>
      <c r="F89" s="38">
        <v>5611.4</v>
      </c>
      <c r="G89" s="38">
        <v>1110183.8568</v>
      </c>
      <c r="H89" s="38">
        <v>9843.2000000000007</v>
      </c>
      <c r="I89" s="38">
        <v>961268.30500000005</v>
      </c>
      <c r="J89" s="38">
        <v>8795</v>
      </c>
      <c r="K89" s="38">
        <v>1109987.639</v>
      </c>
      <c r="L89" s="38">
        <v>9661</v>
      </c>
      <c r="M89" s="38">
        <v>639453.1091</v>
      </c>
      <c r="N89" s="38">
        <v>5640.9</v>
      </c>
      <c r="O89" s="38">
        <v>831065.29960000003</v>
      </c>
      <c r="P89" s="38">
        <v>7150.4</v>
      </c>
    </row>
    <row r="90" spans="1:16" ht="23.25">
      <c r="A90" s="35" t="s">
        <v>1929</v>
      </c>
      <c r="B90" s="36" t="s">
        <v>2042</v>
      </c>
      <c r="C90" s="60" t="s">
        <v>467</v>
      </c>
      <c r="D90" s="37" t="s">
        <v>475</v>
      </c>
      <c r="E90" s="38">
        <v>272512.16739999998</v>
      </c>
      <c r="F90" s="38">
        <v>2232.6</v>
      </c>
      <c r="G90" s="38">
        <v>572478.47870000009</v>
      </c>
      <c r="H90" s="38">
        <v>4971.3</v>
      </c>
      <c r="I90" s="38">
        <v>551478.98259999999</v>
      </c>
      <c r="J90" s="38">
        <v>4417.3999999999996</v>
      </c>
      <c r="K90" s="38">
        <v>430231.79230000003</v>
      </c>
      <c r="L90" s="38">
        <v>3707.7</v>
      </c>
      <c r="M90" s="38">
        <v>317505.0723</v>
      </c>
      <c r="N90" s="38">
        <v>2477.6999999999998</v>
      </c>
      <c r="O90" s="38">
        <v>402832.48930000002</v>
      </c>
      <c r="P90" s="38">
        <v>3410.7</v>
      </c>
    </row>
    <row r="91" spans="1:16" ht="23.25">
      <c r="A91" s="35" t="s">
        <v>1929</v>
      </c>
      <c r="B91" s="36" t="s">
        <v>2043</v>
      </c>
      <c r="C91" s="60" t="s">
        <v>462</v>
      </c>
      <c r="D91" s="37" t="s">
        <v>475</v>
      </c>
      <c r="E91" s="38">
        <v>359723.3211</v>
      </c>
      <c r="F91" s="38">
        <v>3178.9</v>
      </c>
      <c r="G91" s="38">
        <v>546688.50349999999</v>
      </c>
      <c r="H91" s="38">
        <v>4846.5</v>
      </c>
      <c r="I91" s="38">
        <v>712096.15189999994</v>
      </c>
      <c r="J91" s="38">
        <v>5998.1</v>
      </c>
      <c r="K91" s="38">
        <v>666847.2392999999</v>
      </c>
      <c r="L91" s="38">
        <v>5860.7</v>
      </c>
      <c r="M91" s="38">
        <v>500351.4179</v>
      </c>
      <c r="N91" s="38">
        <v>4432.1000000000004</v>
      </c>
      <c r="O91" s="38">
        <v>763514.15419999999</v>
      </c>
      <c r="P91" s="38">
        <v>6695.8</v>
      </c>
    </row>
    <row r="92" spans="1:16" ht="23.25">
      <c r="A92" s="35" t="s">
        <v>1929</v>
      </c>
      <c r="B92" s="43" t="s">
        <v>2044</v>
      </c>
      <c r="C92" s="63" t="s">
        <v>2045</v>
      </c>
      <c r="D92" s="37" t="s">
        <v>475</v>
      </c>
      <c r="E92" s="38">
        <v>0</v>
      </c>
      <c r="F92" s="38">
        <v>0</v>
      </c>
      <c r="G92" s="38">
        <v>0</v>
      </c>
      <c r="H92" s="38">
        <v>0</v>
      </c>
      <c r="I92" s="38">
        <v>0</v>
      </c>
      <c r="J92" s="38">
        <v>0</v>
      </c>
      <c r="K92" s="38">
        <v>0</v>
      </c>
      <c r="L92" s="38">
        <v>0</v>
      </c>
      <c r="M92" s="38">
        <v>0</v>
      </c>
      <c r="N92" s="38">
        <v>0</v>
      </c>
      <c r="O92" s="38">
        <v>0</v>
      </c>
      <c r="P92" s="38">
        <v>0</v>
      </c>
    </row>
    <row r="93" spans="1:16" ht="23.25">
      <c r="A93" s="35" t="s">
        <v>1935</v>
      </c>
      <c r="B93" s="36" t="s">
        <v>1937</v>
      </c>
      <c r="C93" s="60" t="s">
        <v>982</v>
      </c>
      <c r="D93" s="37" t="s">
        <v>1981</v>
      </c>
      <c r="E93" s="38">
        <v>2047643.2327999999</v>
      </c>
      <c r="F93" s="38">
        <v>19517.2</v>
      </c>
      <c r="G93" s="38">
        <v>1326128.5567999999</v>
      </c>
      <c r="H93" s="38">
        <v>12543.2</v>
      </c>
      <c r="I93" s="38">
        <v>1450653.6458000001</v>
      </c>
      <c r="J93" s="38">
        <v>13354.2</v>
      </c>
      <c r="K93" s="38">
        <v>1603170.1199</v>
      </c>
      <c r="L93" s="38">
        <v>15280.1</v>
      </c>
      <c r="M93" s="38">
        <v>2199370.0420999997</v>
      </c>
      <c r="N93" s="38">
        <v>20757.900000000001</v>
      </c>
      <c r="O93" s="38">
        <v>1641604.9611</v>
      </c>
      <c r="P93" s="38">
        <v>15388.9</v>
      </c>
    </row>
    <row r="94" spans="1:16" ht="23.25">
      <c r="A94" s="35" t="s">
        <v>1935</v>
      </c>
      <c r="B94" s="36" t="s">
        <v>2046</v>
      </c>
      <c r="C94" s="60" t="s">
        <v>1000</v>
      </c>
      <c r="D94" s="37" t="s">
        <v>1981</v>
      </c>
      <c r="E94" s="38">
        <v>247992.21180000002</v>
      </c>
      <c r="F94" s="38">
        <v>2388.1999999999998</v>
      </c>
      <c r="G94" s="38">
        <v>266894.08549999999</v>
      </c>
      <c r="H94" s="38">
        <v>2464.5</v>
      </c>
      <c r="I94" s="38">
        <v>1008041.0068</v>
      </c>
      <c r="J94" s="38">
        <v>9143.2000000000007</v>
      </c>
      <c r="K94" s="38">
        <v>853466.30449999997</v>
      </c>
      <c r="L94" s="38">
        <v>8095.5</v>
      </c>
      <c r="M94" s="38">
        <v>116216.6235</v>
      </c>
      <c r="N94" s="38">
        <v>1076.5</v>
      </c>
      <c r="O94" s="38">
        <v>465717.76449999999</v>
      </c>
      <c r="P94" s="38">
        <v>4485.5</v>
      </c>
    </row>
    <row r="95" spans="1:16" ht="23.25">
      <c r="A95" s="35" t="s">
        <v>1935</v>
      </c>
      <c r="B95" s="36" t="s">
        <v>1938</v>
      </c>
      <c r="C95" s="60" t="s">
        <v>990</v>
      </c>
      <c r="D95" s="37" t="s">
        <v>1981</v>
      </c>
      <c r="E95" s="38">
        <v>898.89109999999994</v>
      </c>
      <c r="F95" s="38">
        <v>8.9</v>
      </c>
      <c r="G95" s="38">
        <v>252189.32740000001</v>
      </c>
      <c r="H95" s="38">
        <v>2322.6</v>
      </c>
      <c r="I95" s="38">
        <v>54068.439850000002</v>
      </c>
      <c r="J95" s="38">
        <v>510.15</v>
      </c>
      <c r="K95" s="38">
        <v>293555.7929</v>
      </c>
      <c r="L95" s="38">
        <v>2782.1</v>
      </c>
      <c r="M95" s="38">
        <v>297547.28775000002</v>
      </c>
      <c r="N95" s="38">
        <v>2812.25</v>
      </c>
      <c r="O95" s="38">
        <v>479682.69075000001</v>
      </c>
      <c r="P95" s="38">
        <v>4634.25</v>
      </c>
    </row>
    <row r="96" spans="1:16" ht="23.25">
      <c r="A96" s="35" t="s">
        <v>1935</v>
      </c>
      <c r="B96" s="36" t="s">
        <v>2046</v>
      </c>
      <c r="C96" s="60" t="s">
        <v>1002</v>
      </c>
      <c r="D96" s="37" t="s">
        <v>1981</v>
      </c>
      <c r="E96" s="38">
        <v>543200.61869999999</v>
      </c>
      <c r="F96" s="38">
        <v>5181.3</v>
      </c>
      <c r="G96" s="38">
        <v>871785.33239999996</v>
      </c>
      <c r="H96" s="38">
        <v>8167.6</v>
      </c>
      <c r="I96" s="38">
        <v>2280366.5175999999</v>
      </c>
      <c r="J96" s="38">
        <v>21332.400000000001</v>
      </c>
      <c r="K96" s="38">
        <v>1924914.4174000002</v>
      </c>
      <c r="L96" s="38">
        <v>18282.599999999999</v>
      </c>
      <c r="M96" s="38">
        <v>1606335.4415</v>
      </c>
      <c r="N96" s="38">
        <v>15258.5</v>
      </c>
      <c r="O96" s="38">
        <v>615243.30649999995</v>
      </c>
      <c r="P96" s="38">
        <v>5893.5</v>
      </c>
    </row>
    <row r="97" spans="1:16" ht="23.25">
      <c r="A97" s="35" t="s">
        <v>1935</v>
      </c>
      <c r="B97" s="36" t="s">
        <v>2047</v>
      </c>
      <c r="C97" s="60" t="s">
        <v>984</v>
      </c>
      <c r="D97" s="37" t="s">
        <v>1887</v>
      </c>
      <c r="E97" s="38">
        <v>277056.37189999997</v>
      </c>
      <c r="F97" s="38">
        <v>2528.1</v>
      </c>
      <c r="G97" s="38">
        <v>547234.46010000003</v>
      </c>
      <c r="H97" s="38">
        <v>5239.8999999999996</v>
      </c>
      <c r="I97" s="38">
        <v>707849.53020000004</v>
      </c>
      <c r="J97" s="38">
        <v>6769.8</v>
      </c>
      <c r="K97" s="38">
        <v>652917.26010000007</v>
      </c>
      <c r="L97" s="38">
        <v>6239.9</v>
      </c>
      <c r="M97" s="38">
        <v>250725.4394</v>
      </c>
      <c r="N97" s="38">
        <v>2410.6</v>
      </c>
      <c r="O97" s="38">
        <v>43244.645100000002</v>
      </c>
      <c r="P97" s="38">
        <v>404.9</v>
      </c>
    </row>
    <row r="98" spans="1:16" ht="23.25">
      <c r="A98" s="35" t="s">
        <v>1935</v>
      </c>
      <c r="B98" s="42" t="s">
        <v>2048</v>
      </c>
      <c r="C98" s="62" t="s">
        <v>998</v>
      </c>
      <c r="D98" s="37" t="s">
        <v>475</v>
      </c>
      <c r="E98" s="38">
        <v>941443.95409999997</v>
      </c>
      <c r="F98" s="38">
        <v>8945.9</v>
      </c>
      <c r="G98" s="38">
        <v>877236.13510000007</v>
      </c>
      <c r="H98" s="38">
        <v>8064.9</v>
      </c>
      <c r="I98" s="38">
        <v>1700778.6147</v>
      </c>
      <c r="J98" s="38">
        <v>15685.3</v>
      </c>
      <c r="K98" s="38">
        <v>2287495.0016000001</v>
      </c>
      <c r="L98" s="38">
        <v>21298.400000000001</v>
      </c>
      <c r="M98" s="38">
        <v>1998632.9154999999</v>
      </c>
      <c r="N98" s="38">
        <v>18534.5</v>
      </c>
      <c r="O98" s="38">
        <v>1939635.5004</v>
      </c>
      <c r="P98" s="38">
        <v>17999.599999999999</v>
      </c>
    </row>
    <row r="99" spans="1:16" ht="23.25">
      <c r="A99" s="35" t="s">
        <v>1935</v>
      </c>
      <c r="B99" s="36" t="s">
        <v>2049</v>
      </c>
      <c r="C99" s="60" t="s">
        <v>1006</v>
      </c>
      <c r="D99" s="37" t="s">
        <v>475</v>
      </c>
      <c r="E99" s="38">
        <v>314300.88380000001</v>
      </c>
      <c r="F99" s="38">
        <v>2766.2</v>
      </c>
      <c r="G99" s="38">
        <v>102362.98340000001</v>
      </c>
      <c r="H99" s="38">
        <v>866.6</v>
      </c>
      <c r="I99" s="38">
        <v>268982.5393</v>
      </c>
      <c r="J99" s="38">
        <v>2460.6999999999998</v>
      </c>
      <c r="K99" s="38">
        <v>584541.39899999998</v>
      </c>
      <c r="L99" s="38">
        <v>5501</v>
      </c>
      <c r="M99" s="38">
        <v>1147346.8737000001</v>
      </c>
      <c r="N99" s="38">
        <v>10776.3</v>
      </c>
      <c r="O99" s="38">
        <v>1750497.432</v>
      </c>
      <c r="P99" s="38">
        <v>16218</v>
      </c>
    </row>
    <row r="100" spans="1:16" ht="23.25">
      <c r="A100" s="35" t="s">
        <v>1884</v>
      </c>
      <c r="B100" s="39" t="s">
        <v>2050</v>
      </c>
      <c r="C100" s="61" t="s">
        <v>2051</v>
      </c>
      <c r="D100" s="37" t="s">
        <v>1981</v>
      </c>
      <c r="E100" s="38">
        <v>0</v>
      </c>
      <c r="F100" s="38">
        <v>0</v>
      </c>
      <c r="G100" s="38">
        <v>0</v>
      </c>
      <c r="H100" s="38">
        <v>0</v>
      </c>
      <c r="I100" s="38">
        <v>0</v>
      </c>
      <c r="J100" s="38">
        <v>0</v>
      </c>
      <c r="K100" s="38">
        <v>0</v>
      </c>
      <c r="L100" s="38">
        <v>0</v>
      </c>
      <c r="M100" s="38">
        <v>0</v>
      </c>
      <c r="N100" s="38">
        <v>0</v>
      </c>
      <c r="O100" s="38">
        <v>0</v>
      </c>
      <c r="P100" s="38">
        <v>0</v>
      </c>
    </row>
    <row r="101" spans="1:16" ht="23.25">
      <c r="A101" s="35" t="s">
        <v>1884</v>
      </c>
      <c r="B101" s="39" t="s">
        <v>2052</v>
      </c>
      <c r="C101" s="61" t="s">
        <v>1274</v>
      </c>
      <c r="D101" s="37" t="s">
        <v>1981</v>
      </c>
      <c r="E101" s="38">
        <v>51595.7667</v>
      </c>
      <c r="F101" s="38">
        <v>383.3</v>
      </c>
      <c r="G101" s="38">
        <v>62819.564899999998</v>
      </c>
      <c r="H101" s="38">
        <v>585.1</v>
      </c>
      <c r="I101" s="38">
        <v>74266.394400000005</v>
      </c>
      <c r="J101" s="38">
        <v>655.6</v>
      </c>
      <c r="K101" s="38">
        <v>31659.579899999997</v>
      </c>
      <c r="L101" s="38">
        <v>270.10000000000002</v>
      </c>
      <c r="M101" s="38">
        <v>0</v>
      </c>
      <c r="N101" s="38">
        <v>0</v>
      </c>
      <c r="O101" s="38">
        <v>0</v>
      </c>
      <c r="P101" s="38">
        <v>0</v>
      </c>
    </row>
    <row r="102" spans="1:16" ht="23.25">
      <c r="A102" s="35" t="s">
        <v>1884</v>
      </c>
      <c r="B102" s="39" t="s">
        <v>2053</v>
      </c>
      <c r="C102" s="61" t="s">
        <v>2054</v>
      </c>
      <c r="D102" s="37" t="s">
        <v>1981</v>
      </c>
      <c r="E102" s="38">
        <v>0</v>
      </c>
      <c r="F102" s="38">
        <v>0</v>
      </c>
      <c r="G102" s="38">
        <v>0</v>
      </c>
      <c r="H102" s="38">
        <v>0</v>
      </c>
      <c r="I102" s="38">
        <v>0</v>
      </c>
      <c r="J102" s="38">
        <v>0</v>
      </c>
      <c r="K102" s="38">
        <v>0</v>
      </c>
      <c r="L102" s="38">
        <v>0</v>
      </c>
      <c r="M102" s="38">
        <v>0</v>
      </c>
      <c r="N102" s="38">
        <v>0</v>
      </c>
      <c r="O102" s="38">
        <v>0</v>
      </c>
      <c r="P102" s="38">
        <v>0</v>
      </c>
    </row>
    <row r="103" spans="1:16" ht="23.25">
      <c r="A103" s="35" t="s">
        <v>1884</v>
      </c>
      <c r="B103" s="36" t="s">
        <v>2055</v>
      </c>
      <c r="C103" s="60" t="s">
        <v>1687</v>
      </c>
      <c r="D103" s="37" t="s">
        <v>1887</v>
      </c>
      <c r="E103" s="38">
        <v>113585.2671</v>
      </c>
      <c r="F103" s="38">
        <v>882.9</v>
      </c>
      <c r="G103" s="38">
        <v>83991.231</v>
      </c>
      <c r="H103" s="38">
        <v>619</v>
      </c>
      <c r="I103" s="38">
        <v>174091.93700000001</v>
      </c>
      <c r="J103" s="38">
        <v>1363</v>
      </c>
      <c r="K103" s="38">
        <v>86422.582599999994</v>
      </c>
      <c r="L103" s="38">
        <v>717.4</v>
      </c>
      <c r="M103" s="38">
        <v>56229.908600000002</v>
      </c>
      <c r="N103" s="38">
        <v>491.4</v>
      </c>
      <c r="O103" s="38">
        <v>53541.196000000004</v>
      </c>
      <c r="P103" s="38">
        <v>304</v>
      </c>
    </row>
    <row r="104" spans="1:16" ht="23.25">
      <c r="A104" s="35" t="s">
        <v>1884</v>
      </c>
      <c r="B104" s="39" t="s">
        <v>2056</v>
      </c>
      <c r="C104" s="61" t="s">
        <v>1299</v>
      </c>
      <c r="D104" s="37" t="s">
        <v>1887</v>
      </c>
      <c r="E104" s="38">
        <v>331497.78089999995</v>
      </c>
      <c r="F104" s="38">
        <v>3169.1</v>
      </c>
      <c r="G104" s="38">
        <v>0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</row>
    <row r="105" spans="1:16" ht="23.25">
      <c r="A105" s="35" t="s">
        <v>1944</v>
      </c>
      <c r="B105" s="36" t="s">
        <v>1945</v>
      </c>
      <c r="C105" s="60" t="s">
        <v>918</v>
      </c>
      <c r="D105" s="37" t="s">
        <v>1981</v>
      </c>
      <c r="E105" s="38">
        <v>1860806.4824999999</v>
      </c>
      <c r="F105" s="38">
        <v>17967.5</v>
      </c>
      <c r="G105" s="38">
        <v>1785712.3625</v>
      </c>
      <c r="H105" s="38">
        <v>17337.5</v>
      </c>
      <c r="I105" s="38">
        <v>1365310.9457999999</v>
      </c>
      <c r="J105" s="38">
        <v>13054.2</v>
      </c>
      <c r="K105" s="38">
        <v>927186.10439999995</v>
      </c>
      <c r="L105" s="38">
        <v>8795.6</v>
      </c>
      <c r="M105" s="38">
        <v>187686.01990000001</v>
      </c>
      <c r="N105" s="38">
        <v>1730.1</v>
      </c>
      <c r="O105" s="38">
        <v>299994.05789999996</v>
      </c>
      <c r="P105" s="38">
        <v>2892.1</v>
      </c>
    </row>
    <row r="106" spans="1:16" ht="23.25">
      <c r="A106" s="35" t="s">
        <v>1944</v>
      </c>
      <c r="B106" s="36" t="s">
        <v>2057</v>
      </c>
      <c r="C106" s="60">
        <v>15700008</v>
      </c>
      <c r="D106" s="37" t="s">
        <v>475</v>
      </c>
      <c r="E106" s="38">
        <v>423504.84360000002</v>
      </c>
      <c r="F106" s="38">
        <v>4156.3999999999996</v>
      </c>
      <c r="G106" s="38">
        <v>306197.19880000001</v>
      </c>
      <c r="H106" s="38">
        <v>3001.2</v>
      </c>
      <c r="I106" s="38">
        <v>362318.89510000002</v>
      </c>
      <c r="J106" s="38">
        <v>3454.9</v>
      </c>
      <c r="K106" s="38">
        <v>359761.46220000001</v>
      </c>
      <c r="L106" s="38">
        <v>3487.8</v>
      </c>
      <c r="M106" s="38">
        <v>245123.51680000001</v>
      </c>
      <c r="N106" s="38">
        <v>2383.1999999999998</v>
      </c>
      <c r="O106" s="38">
        <v>577534.86089999997</v>
      </c>
      <c r="P106" s="38">
        <v>5639.1</v>
      </c>
    </row>
    <row r="107" spans="1:16" ht="23.25">
      <c r="A107" s="36" t="s">
        <v>1944</v>
      </c>
      <c r="B107" s="36" t="s">
        <v>2058</v>
      </c>
      <c r="C107" s="60" t="s">
        <v>896</v>
      </c>
      <c r="D107" s="37" t="s">
        <v>1981</v>
      </c>
      <c r="E107" s="38">
        <v>438285.9999</v>
      </c>
      <c r="F107" s="38">
        <v>4200.1000000000004</v>
      </c>
      <c r="G107" s="38">
        <v>655554.01789999998</v>
      </c>
      <c r="H107" s="38">
        <v>6182.1</v>
      </c>
      <c r="I107" s="38">
        <v>901911.25289999996</v>
      </c>
      <c r="J107" s="38">
        <v>8647.1</v>
      </c>
      <c r="K107" s="38">
        <v>1305006.5592</v>
      </c>
      <c r="L107" s="38">
        <v>12140.8</v>
      </c>
      <c r="M107" s="38">
        <v>1323808.6129999999</v>
      </c>
      <c r="N107" s="38">
        <v>12587</v>
      </c>
      <c r="O107" s="38">
        <v>927240.93850000005</v>
      </c>
      <c r="P107" s="38">
        <v>8811.5</v>
      </c>
    </row>
    <row r="108" spans="1:16" ht="23.25">
      <c r="A108" s="36" t="s">
        <v>1944</v>
      </c>
      <c r="B108" s="36" t="s">
        <v>2059</v>
      </c>
      <c r="C108" s="60" t="s">
        <v>884</v>
      </c>
      <c r="D108" s="37" t="s">
        <v>1887</v>
      </c>
      <c r="E108" s="38">
        <v>2504407.5240000002</v>
      </c>
      <c r="F108" s="38">
        <v>24076</v>
      </c>
      <c r="G108" s="38">
        <v>1798946.2901539181</v>
      </c>
      <c r="H108" s="38">
        <v>17309.846081984131</v>
      </c>
      <c r="I108" s="38">
        <v>2215603.2820538869</v>
      </c>
      <c r="J108" s="38">
        <v>21217.946112927639</v>
      </c>
      <c r="K108" s="38">
        <v>2279886.1242538569</v>
      </c>
      <c r="L108" s="38">
        <v>21875.74614297918</v>
      </c>
      <c r="M108" s="38">
        <v>1815390.2911538261</v>
      </c>
      <c r="N108" s="38">
        <v>16808.846173891736</v>
      </c>
      <c r="O108" s="38">
        <v>1703672.9872537961</v>
      </c>
      <c r="P108" s="38">
        <v>16362.746203960349</v>
      </c>
    </row>
    <row r="109" spans="1:16" ht="23.25">
      <c r="A109" s="36" t="s">
        <v>1944</v>
      </c>
      <c r="B109" s="36" t="s">
        <v>2058</v>
      </c>
      <c r="C109" s="60" t="s">
        <v>892</v>
      </c>
      <c r="D109" s="37" t="s">
        <v>1981</v>
      </c>
      <c r="E109" s="38">
        <v>1606534.0984</v>
      </c>
      <c r="F109" s="38">
        <v>15501.6</v>
      </c>
      <c r="G109" s="38">
        <v>767573.6057999999</v>
      </c>
      <c r="H109" s="38">
        <v>7344.2</v>
      </c>
      <c r="I109" s="38">
        <v>917119.58299999998</v>
      </c>
      <c r="J109" s="38">
        <v>8667</v>
      </c>
      <c r="K109" s="38">
        <v>517718.40169999999</v>
      </c>
      <c r="L109" s="38">
        <v>4698.3</v>
      </c>
      <c r="M109" s="38">
        <v>747421.40320000006</v>
      </c>
      <c r="N109" s="38">
        <v>7096.8</v>
      </c>
      <c r="O109" s="38">
        <v>598156.25770000007</v>
      </c>
      <c r="P109" s="38">
        <v>5642.3</v>
      </c>
    </row>
    <row r="110" spans="1:16" ht="23.25">
      <c r="A110" s="36" t="s">
        <v>1944</v>
      </c>
      <c r="B110" s="39" t="s">
        <v>2060</v>
      </c>
      <c r="C110" s="61" t="s">
        <v>923</v>
      </c>
      <c r="D110" s="37" t="s">
        <v>1981</v>
      </c>
      <c r="E110" s="38">
        <v>0</v>
      </c>
      <c r="F110" s="38">
        <v>0</v>
      </c>
      <c r="G110" s="38">
        <v>0</v>
      </c>
      <c r="H110" s="38">
        <v>0</v>
      </c>
      <c r="I110" s="38">
        <v>0</v>
      </c>
      <c r="J110" s="38">
        <v>0</v>
      </c>
      <c r="K110" s="38">
        <v>0</v>
      </c>
      <c r="L110" s="38">
        <v>0</v>
      </c>
      <c r="M110" s="38">
        <v>0</v>
      </c>
      <c r="N110" s="38">
        <v>0</v>
      </c>
      <c r="O110" s="38">
        <v>0</v>
      </c>
      <c r="P110" s="38">
        <v>0</v>
      </c>
    </row>
    <row r="111" spans="1:16" ht="23.25">
      <c r="A111" s="36" t="s">
        <v>1944</v>
      </c>
      <c r="B111" s="36" t="s">
        <v>1945</v>
      </c>
      <c r="C111" s="60" t="s">
        <v>882</v>
      </c>
      <c r="D111" s="37" t="s">
        <v>1981</v>
      </c>
      <c r="E111" s="38">
        <v>344052.95269999997</v>
      </c>
      <c r="F111" s="38">
        <v>3297.3</v>
      </c>
      <c r="G111" s="38">
        <v>250587.06319999998</v>
      </c>
      <c r="H111" s="38">
        <v>2386.8000000000002</v>
      </c>
      <c r="I111" s="38">
        <v>1224932.2267</v>
      </c>
      <c r="J111" s="38">
        <v>11623.3</v>
      </c>
      <c r="K111" s="38">
        <v>1195274.8055999998</v>
      </c>
      <c r="L111" s="38">
        <v>11394.4</v>
      </c>
      <c r="M111" s="38">
        <v>2253628.3961</v>
      </c>
      <c r="N111" s="38">
        <v>21103.9</v>
      </c>
      <c r="O111" s="38">
        <v>1831648.4738</v>
      </c>
      <c r="P111" s="38">
        <v>17676.2</v>
      </c>
    </row>
    <row r="112" spans="1:16" ht="23.25">
      <c r="A112" s="36" t="s">
        <v>1952</v>
      </c>
      <c r="B112" s="36" t="s">
        <v>2061</v>
      </c>
      <c r="C112" s="60" t="s">
        <v>831</v>
      </c>
      <c r="D112" s="37" t="s">
        <v>1887</v>
      </c>
      <c r="E112" s="38">
        <v>782845.85829999996</v>
      </c>
      <c r="F112" s="38">
        <v>7041.7</v>
      </c>
      <c r="G112" s="38">
        <v>392637.5049</v>
      </c>
      <c r="H112" s="38">
        <v>3395.1</v>
      </c>
      <c r="I112" s="38">
        <v>457019.28939999995</v>
      </c>
      <c r="J112" s="38">
        <v>4260.6000000000004</v>
      </c>
      <c r="K112" s="38">
        <v>214082.16509999998</v>
      </c>
      <c r="L112" s="38">
        <v>2084.9</v>
      </c>
      <c r="M112" s="38">
        <v>389125.55869999999</v>
      </c>
      <c r="N112" s="38">
        <v>3691.3</v>
      </c>
      <c r="O112" s="38">
        <v>493768.84339999995</v>
      </c>
      <c r="P112" s="38">
        <v>4156.6000000000004</v>
      </c>
    </row>
    <row r="113" spans="1:16" ht="23.25">
      <c r="A113" s="36" t="s">
        <v>1952</v>
      </c>
      <c r="B113" s="36" t="s">
        <v>2062</v>
      </c>
      <c r="C113" s="60" t="s">
        <v>828</v>
      </c>
      <c r="D113" s="37" t="s">
        <v>1981</v>
      </c>
      <c r="E113" s="38">
        <v>131963.0294</v>
      </c>
      <c r="F113" s="38">
        <v>1270.5999999999999</v>
      </c>
      <c r="G113" s="38">
        <v>109830.17940000001</v>
      </c>
      <c r="H113" s="38">
        <v>920.6</v>
      </c>
      <c r="I113" s="38">
        <v>71779.718400000012</v>
      </c>
      <c r="J113" s="38">
        <v>631.6</v>
      </c>
      <c r="K113" s="38">
        <v>161680.6079</v>
      </c>
      <c r="L113" s="38">
        <v>1292.0999999999999</v>
      </c>
      <c r="M113" s="38">
        <v>105669.1103</v>
      </c>
      <c r="N113" s="38">
        <v>739.7</v>
      </c>
      <c r="O113" s="38">
        <v>147332.17130000002</v>
      </c>
      <c r="P113" s="38">
        <v>1178.7</v>
      </c>
    </row>
    <row r="114" spans="1:16" ht="23.25">
      <c r="A114" s="36" t="s">
        <v>1952</v>
      </c>
      <c r="B114" s="36" t="s">
        <v>2063</v>
      </c>
      <c r="C114" s="60" t="s">
        <v>817</v>
      </c>
      <c r="D114" s="37" t="s">
        <v>475</v>
      </c>
      <c r="E114" s="38">
        <v>1044777.1806000001</v>
      </c>
      <c r="F114" s="38">
        <v>9969.4</v>
      </c>
      <c r="G114" s="38">
        <v>692575.14659999998</v>
      </c>
      <c r="H114" s="38">
        <v>6503.4</v>
      </c>
      <c r="I114" s="38">
        <v>1062711.3055</v>
      </c>
      <c r="J114" s="38">
        <v>9694.5</v>
      </c>
      <c r="K114" s="38">
        <v>831687.81329999992</v>
      </c>
      <c r="L114" s="38">
        <v>7836.7</v>
      </c>
      <c r="M114" s="38">
        <v>1001270.7672999999</v>
      </c>
      <c r="N114" s="38">
        <v>9382.7000000000007</v>
      </c>
      <c r="O114" s="38">
        <v>1196863.5442000001</v>
      </c>
      <c r="P114" s="38">
        <v>11155.8</v>
      </c>
    </row>
    <row r="115" spans="1:16" ht="23.25">
      <c r="A115" s="36" t="s">
        <v>1952</v>
      </c>
      <c r="B115" s="36" t="s">
        <v>2064</v>
      </c>
      <c r="C115" s="60" t="s">
        <v>846</v>
      </c>
      <c r="D115" s="37" t="s">
        <v>475</v>
      </c>
      <c r="E115" s="38">
        <v>1387584.6369</v>
      </c>
      <c r="F115" s="38">
        <v>12963.1</v>
      </c>
      <c r="G115" s="38">
        <v>920971.43700000003</v>
      </c>
      <c r="H115" s="38">
        <v>8763</v>
      </c>
      <c r="I115" s="38">
        <v>2176896.0011999998</v>
      </c>
      <c r="J115" s="38">
        <v>20098.8</v>
      </c>
      <c r="K115" s="38">
        <v>1961887.8291</v>
      </c>
      <c r="L115" s="38">
        <v>18470.900000000001</v>
      </c>
      <c r="M115" s="38">
        <v>1546328.9875</v>
      </c>
      <c r="N115" s="38">
        <v>14512.5</v>
      </c>
      <c r="O115" s="38">
        <v>2122200.7400000002</v>
      </c>
      <c r="P115" s="38">
        <v>19610</v>
      </c>
    </row>
    <row r="116" spans="1:16" ht="23.25">
      <c r="A116" s="35" t="s">
        <v>1952</v>
      </c>
      <c r="B116" s="36" t="s">
        <v>2065</v>
      </c>
      <c r="C116" s="60" t="s">
        <v>850</v>
      </c>
      <c r="D116" s="37" t="s">
        <v>475</v>
      </c>
      <c r="E116" s="38">
        <v>1926657.6608</v>
      </c>
      <c r="F116" s="38">
        <v>18289.2</v>
      </c>
      <c r="G116" s="38">
        <v>1295601.9442999999</v>
      </c>
      <c r="H116" s="38">
        <v>12055.7</v>
      </c>
      <c r="I116" s="38">
        <v>2532733.5884000002</v>
      </c>
      <c r="J116" s="38">
        <v>23611.599999999999</v>
      </c>
      <c r="K116" s="38">
        <v>3145885.1308000004</v>
      </c>
      <c r="L116" s="38">
        <v>29369.200000000001</v>
      </c>
      <c r="M116" s="38">
        <v>2093078.7612999999</v>
      </c>
      <c r="N116" s="38">
        <v>19688.7</v>
      </c>
      <c r="O116" s="38">
        <v>2850382.3960000002</v>
      </c>
      <c r="P116" s="38">
        <v>26654</v>
      </c>
    </row>
    <row r="117" spans="1:16" ht="23.25">
      <c r="A117" s="36" t="s">
        <v>1952</v>
      </c>
      <c r="B117" s="39" t="s">
        <v>2066</v>
      </c>
      <c r="C117" s="61" t="s">
        <v>2067</v>
      </c>
      <c r="D117" s="37" t="s">
        <v>1981</v>
      </c>
      <c r="E117" s="38">
        <v>0</v>
      </c>
      <c r="F117" s="38">
        <v>0</v>
      </c>
      <c r="G117" s="38">
        <v>0</v>
      </c>
      <c r="H117" s="38">
        <v>0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</row>
    <row r="118" spans="1:16" ht="23.25">
      <c r="A118" s="35" t="s">
        <v>1952</v>
      </c>
      <c r="B118" s="36" t="s">
        <v>2068</v>
      </c>
      <c r="C118" s="60" t="s">
        <v>824</v>
      </c>
      <c r="D118" s="37" t="s">
        <v>1981</v>
      </c>
      <c r="E118" s="38">
        <v>0</v>
      </c>
      <c r="F118" s="38">
        <v>0</v>
      </c>
      <c r="G118" s="46">
        <v>271298.18897029705</v>
      </c>
      <c r="H118" s="46">
        <v>2561.029702970297</v>
      </c>
      <c r="I118" s="46">
        <v>249247.07995297029</v>
      </c>
      <c r="J118" s="46">
        <v>2420.0470297029701</v>
      </c>
      <c r="K118" s="46">
        <v>221370.89668316834</v>
      </c>
      <c r="L118" s="46">
        <v>2103.3168316831684</v>
      </c>
      <c r="M118" s="46">
        <v>349874.35621039604</v>
      </c>
      <c r="N118" s="46">
        <v>3393.7896039603961</v>
      </c>
      <c r="O118" s="46">
        <v>192854.38876980197</v>
      </c>
      <c r="P118" s="46">
        <v>1861.2301980198019</v>
      </c>
    </row>
    <row r="119" spans="1:16" ht="23.25">
      <c r="A119" s="36" t="s">
        <v>1952</v>
      </c>
      <c r="B119" s="36" t="s">
        <v>2069</v>
      </c>
      <c r="C119" s="60" t="s">
        <v>866</v>
      </c>
      <c r="D119" s="37" t="s">
        <v>475</v>
      </c>
      <c r="E119" s="38">
        <v>537407.22531188116</v>
      </c>
      <c r="F119" s="38">
        <v>5274.6881188118814</v>
      </c>
      <c r="G119" s="38">
        <v>342259.33129702968</v>
      </c>
      <c r="H119" s="38">
        <v>3168.7029702970299</v>
      </c>
      <c r="I119" s="38">
        <v>444943.7003168317</v>
      </c>
      <c r="J119" s="38">
        <v>4299.6831683168321</v>
      </c>
      <c r="K119" s="38">
        <v>704374.89350000001</v>
      </c>
      <c r="L119" s="38">
        <v>6856.5</v>
      </c>
      <c r="M119" s="38">
        <v>435836.00449999998</v>
      </c>
      <c r="N119" s="38">
        <v>4245.5</v>
      </c>
      <c r="O119" s="38">
        <v>454983.77454455447</v>
      </c>
      <c r="P119" s="38">
        <v>4225.4554455445541</v>
      </c>
    </row>
    <row r="120" spans="1:16" ht="23.25">
      <c r="A120" s="36" t="s">
        <v>1952</v>
      </c>
      <c r="B120" s="36" t="s">
        <v>2070</v>
      </c>
      <c r="C120" s="60" t="s">
        <v>858</v>
      </c>
      <c r="D120" s="37" t="s">
        <v>475</v>
      </c>
      <c r="E120" s="38">
        <v>1007517.4303</v>
      </c>
      <c r="F120" s="38">
        <v>8919.7000000000007</v>
      </c>
      <c r="G120" s="38">
        <v>1325904.1643000001</v>
      </c>
      <c r="H120" s="38">
        <v>12435.7</v>
      </c>
      <c r="I120" s="38">
        <v>640354.00309999997</v>
      </c>
      <c r="J120" s="38">
        <v>5696.9</v>
      </c>
      <c r="K120" s="38">
        <v>1030199.1372</v>
      </c>
      <c r="L120" s="38">
        <v>9412.7999999999993</v>
      </c>
      <c r="M120" s="38">
        <v>849129.77300000004</v>
      </c>
      <c r="N120" s="38">
        <v>7477</v>
      </c>
      <c r="O120" s="38">
        <v>825978.78150000004</v>
      </c>
      <c r="P120" s="38">
        <v>7768.5</v>
      </c>
    </row>
    <row r="121" spans="1:16" ht="23.25">
      <c r="A121" s="36" t="s">
        <v>1952</v>
      </c>
      <c r="B121" s="39" t="s">
        <v>2071</v>
      </c>
      <c r="C121" s="61" t="s">
        <v>2072</v>
      </c>
      <c r="D121" s="37" t="s">
        <v>1981</v>
      </c>
      <c r="E121" s="38">
        <v>0</v>
      </c>
      <c r="F121" s="38">
        <v>0</v>
      </c>
      <c r="G121" s="38">
        <v>0</v>
      </c>
      <c r="H121" s="38">
        <v>0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</row>
    <row r="122" spans="1:16" ht="23.25">
      <c r="A122" s="36" t="s">
        <v>1952</v>
      </c>
      <c r="B122" s="36" t="s">
        <v>2000</v>
      </c>
      <c r="C122" s="60" t="s">
        <v>820</v>
      </c>
      <c r="D122" s="37" t="s">
        <v>1981</v>
      </c>
      <c r="E122" s="38">
        <v>0</v>
      </c>
      <c r="F122" s="38">
        <v>0</v>
      </c>
      <c r="G122" s="46">
        <v>898883.63029999996</v>
      </c>
      <c r="H122" s="46">
        <v>8069.7</v>
      </c>
      <c r="I122" s="46">
        <v>999565.82070000004</v>
      </c>
      <c r="J122" s="46">
        <v>9379.2999999999993</v>
      </c>
      <c r="K122" s="46">
        <v>1650097.5995499999</v>
      </c>
      <c r="L122" s="46">
        <v>15850.45</v>
      </c>
      <c r="M122" s="46">
        <v>1153799.0594500001</v>
      </c>
      <c r="N122" s="46">
        <v>11140.55</v>
      </c>
      <c r="O122" s="46">
        <v>1517760.9313000001</v>
      </c>
      <c r="P122" s="46">
        <v>12893.7</v>
      </c>
    </row>
    <row r="123" spans="1:16" ht="23.25">
      <c r="A123" s="35" t="s">
        <v>1884</v>
      </c>
      <c r="B123" s="36" t="s">
        <v>1963</v>
      </c>
      <c r="C123" s="64" t="s">
        <v>951</v>
      </c>
      <c r="D123" s="37" t="s">
        <v>1981</v>
      </c>
      <c r="E123" s="38">
        <v>86033.795900000012</v>
      </c>
      <c r="F123" s="38">
        <v>804.1</v>
      </c>
      <c r="G123" s="38">
        <v>325592.41350000002</v>
      </c>
      <c r="H123" s="38">
        <v>2936.5</v>
      </c>
      <c r="I123" s="38">
        <v>283763.81849999999</v>
      </c>
      <c r="J123" s="38">
        <v>2681.5</v>
      </c>
      <c r="K123" s="38">
        <v>206431.386</v>
      </c>
      <c r="L123" s="38">
        <v>1914</v>
      </c>
      <c r="M123" s="38">
        <v>497618.25939999998</v>
      </c>
      <c r="N123" s="38">
        <v>4690.6000000000004</v>
      </c>
      <c r="O123" s="38">
        <v>38972.838000000003</v>
      </c>
      <c r="P123" s="38">
        <v>362</v>
      </c>
    </row>
    <row r="124" spans="1:16" ht="23.25">
      <c r="A124" s="35" t="s">
        <v>1884</v>
      </c>
      <c r="B124" s="39" t="s">
        <v>2052</v>
      </c>
      <c r="C124" s="61" t="s">
        <v>941</v>
      </c>
      <c r="D124" s="37" t="s">
        <v>1887</v>
      </c>
      <c r="E124" s="38">
        <v>41995.756200000003</v>
      </c>
      <c r="F124" s="38">
        <v>393.8</v>
      </c>
      <c r="G124" s="38">
        <v>248090.32080000002</v>
      </c>
      <c r="H124" s="38">
        <v>2229.1999999999998</v>
      </c>
      <c r="I124" s="38">
        <v>222744.0754</v>
      </c>
      <c r="J124" s="38">
        <v>2124.6</v>
      </c>
      <c r="K124" s="38">
        <v>217359.0465</v>
      </c>
      <c r="L124" s="38">
        <v>1953.5</v>
      </c>
      <c r="M124" s="38">
        <v>428630.72339999996</v>
      </c>
      <c r="N124" s="38">
        <v>3926.6</v>
      </c>
      <c r="O124" s="38">
        <v>301459.8627</v>
      </c>
      <c r="P124" s="38">
        <v>2787.3</v>
      </c>
    </row>
    <row r="125" spans="1:16" ht="23.25">
      <c r="A125" s="35" t="s">
        <v>1884</v>
      </c>
      <c r="B125" s="39" t="s">
        <v>2073</v>
      </c>
      <c r="C125" s="61" t="s">
        <v>1278</v>
      </c>
      <c r="D125" s="37" t="s">
        <v>1981</v>
      </c>
      <c r="E125" s="38">
        <v>73482.790999999997</v>
      </c>
      <c r="F125" s="38">
        <v>709</v>
      </c>
      <c r="G125" s="38">
        <v>44205.85</v>
      </c>
      <c r="H125" s="38">
        <v>400</v>
      </c>
      <c r="I125" s="38">
        <v>0</v>
      </c>
      <c r="J125" s="38">
        <v>0</v>
      </c>
      <c r="K125" s="38">
        <v>74379.848700000002</v>
      </c>
      <c r="L125" s="38">
        <v>651.29999999999995</v>
      </c>
      <c r="M125" s="38">
        <v>0</v>
      </c>
      <c r="N125" s="38">
        <v>0</v>
      </c>
      <c r="O125" s="38">
        <v>0</v>
      </c>
      <c r="P125" s="38">
        <v>0</v>
      </c>
    </row>
    <row r="126" spans="1:16" ht="23.25">
      <c r="A126" s="35" t="s">
        <v>1884</v>
      </c>
      <c r="B126" s="36" t="s">
        <v>2074</v>
      </c>
      <c r="C126" s="60" t="s">
        <v>959</v>
      </c>
      <c r="D126" s="37" t="s">
        <v>1981</v>
      </c>
      <c r="E126" s="38">
        <v>79501.866399999999</v>
      </c>
      <c r="F126" s="38">
        <v>383.6</v>
      </c>
      <c r="G126" s="38">
        <v>49639.003600000004</v>
      </c>
      <c r="H126" s="38">
        <v>296.39999999999998</v>
      </c>
      <c r="I126" s="38">
        <v>23689.647399999998</v>
      </c>
      <c r="J126" s="38">
        <v>102.6</v>
      </c>
      <c r="K126" s="38">
        <v>118834.56359999999</v>
      </c>
      <c r="L126" s="38">
        <v>736.4</v>
      </c>
      <c r="M126" s="38">
        <v>108330.39379999999</v>
      </c>
      <c r="N126" s="38">
        <v>556.20000000000005</v>
      </c>
      <c r="O126" s="38">
        <v>62929.279999999999</v>
      </c>
      <c r="P126" s="38">
        <v>420</v>
      </c>
    </row>
    <row r="127" spans="1:16" ht="23.25">
      <c r="A127" s="35" t="s">
        <v>1884</v>
      </c>
      <c r="B127" s="39" t="s">
        <v>2075</v>
      </c>
      <c r="C127" s="61" t="s">
        <v>2076</v>
      </c>
      <c r="D127" s="37" t="s">
        <v>1887</v>
      </c>
      <c r="E127" s="38">
        <v>0</v>
      </c>
      <c r="F127" s="38">
        <v>0</v>
      </c>
      <c r="G127" s="38">
        <v>0</v>
      </c>
      <c r="H127" s="38">
        <v>0</v>
      </c>
      <c r="I127" s="38">
        <v>0</v>
      </c>
      <c r="J127" s="38">
        <v>0</v>
      </c>
      <c r="K127" s="38">
        <v>0</v>
      </c>
      <c r="L127" s="38">
        <v>0</v>
      </c>
      <c r="M127" s="38">
        <v>0</v>
      </c>
      <c r="N127" s="38">
        <v>0</v>
      </c>
      <c r="O127" s="38">
        <v>0</v>
      </c>
      <c r="P127" s="38">
        <v>0</v>
      </c>
    </row>
    <row r="128" spans="1:16" ht="23.25">
      <c r="A128" s="35" t="s">
        <v>1884</v>
      </c>
      <c r="B128" s="39" t="s">
        <v>2077</v>
      </c>
      <c r="C128" s="61" t="s">
        <v>2078</v>
      </c>
      <c r="D128" s="37" t="s">
        <v>1981</v>
      </c>
      <c r="E128" s="38">
        <v>0</v>
      </c>
      <c r="F128" s="38">
        <v>0</v>
      </c>
      <c r="G128" s="38">
        <v>0</v>
      </c>
      <c r="H128" s="38">
        <v>0</v>
      </c>
      <c r="I128" s="38">
        <v>0</v>
      </c>
      <c r="J128" s="38">
        <v>0</v>
      </c>
      <c r="K128" s="38">
        <v>0</v>
      </c>
      <c r="L128" s="38">
        <v>0</v>
      </c>
      <c r="M128" s="38">
        <v>0</v>
      </c>
      <c r="N128" s="38">
        <v>0</v>
      </c>
      <c r="O128" s="38">
        <v>0</v>
      </c>
      <c r="P128" s="38">
        <v>0</v>
      </c>
    </row>
    <row r="129" spans="1:16" ht="23.25">
      <c r="A129" s="35" t="s">
        <v>1884</v>
      </c>
      <c r="B129" s="39" t="s">
        <v>2079</v>
      </c>
      <c r="C129" s="61" t="s">
        <v>1249</v>
      </c>
      <c r="D129" s="37" t="s">
        <v>1887</v>
      </c>
      <c r="E129" s="38">
        <v>795521.35420000006</v>
      </c>
      <c r="F129" s="38">
        <v>7445.8</v>
      </c>
      <c r="G129" s="38">
        <v>436761.35930000001</v>
      </c>
      <c r="H129" s="38">
        <v>3990.7</v>
      </c>
      <c r="I129" s="38">
        <v>844015.52659999998</v>
      </c>
      <c r="J129" s="38">
        <v>7473.4</v>
      </c>
      <c r="K129" s="38">
        <v>676378.52410000004</v>
      </c>
      <c r="L129" s="38">
        <v>6175.9</v>
      </c>
      <c r="M129" s="38">
        <v>270636.19050000003</v>
      </c>
      <c r="N129" s="38">
        <v>2559.5</v>
      </c>
      <c r="O129" s="38">
        <v>0</v>
      </c>
      <c r="P129" s="38">
        <v>0</v>
      </c>
    </row>
    <row r="130" spans="1:16" ht="23.25">
      <c r="A130" s="35" t="s">
        <v>1884</v>
      </c>
      <c r="B130" s="39" t="s">
        <v>2080</v>
      </c>
      <c r="C130" s="61" t="s">
        <v>2081</v>
      </c>
      <c r="D130" s="37" t="s">
        <v>1981</v>
      </c>
      <c r="E130" s="38">
        <v>0</v>
      </c>
      <c r="F130" s="38">
        <v>0</v>
      </c>
      <c r="G130" s="38">
        <v>0</v>
      </c>
      <c r="H130" s="38">
        <v>0</v>
      </c>
      <c r="I130" s="38">
        <v>0</v>
      </c>
      <c r="J130" s="38">
        <v>0</v>
      </c>
      <c r="K130" s="38">
        <v>142817.6452</v>
      </c>
      <c r="L130" s="38">
        <v>1304.8</v>
      </c>
      <c r="M130" s="38">
        <v>92766.848900000012</v>
      </c>
      <c r="N130" s="38">
        <v>801.1</v>
      </c>
      <c r="O130" s="38">
        <v>0</v>
      </c>
      <c r="P130" s="38">
        <v>0</v>
      </c>
    </row>
    <row r="131" spans="1:16" ht="23.25">
      <c r="A131" s="35" t="s">
        <v>1884</v>
      </c>
      <c r="B131" s="39" t="s">
        <v>2082</v>
      </c>
      <c r="C131" s="61" t="s">
        <v>2083</v>
      </c>
      <c r="D131" s="37" t="s">
        <v>1887</v>
      </c>
      <c r="E131" s="38">
        <v>0</v>
      </c>
      <c r="F131" s="38">
        <v>0</v>
      </c>
      <c r="G131" s="38">
        <v>0</v>
      </c>
      <c r="H131" s="38">
        <v>0</v>
      </c>
      <c r="I131" s="38">
        <v>0</v>
      </c>
      <c r="J131" s="38">
        <v>0</v>
      </c>
      <c r="K131" s="38">
        <v>878.69130000000007</v>
      </c>
      <c r="L131" s="38">
        <v>8.6999999999999993</v>
      </c>
      <c r="M131" s="38">
        <v>0</v>
      </c>
      <c r="N131" s="38">
        <v>0</v>
      </c>
      <c r="O131" s="38">
        <v>0</v>
      </c>
      <c r="P131" s="38">
        <v>0</v>
      </c>
    </row>
    <row r="132" spans="1:16" ht="23.25">
      <c r="A132" s="35" t="s">
        <v>1884</v>
      </c>
      <c r="B132" s="39" t="s">
        <v>2084</v>
      </c>
      <c r="C132" s="61" t="s">
        <v>1257</v>
      </c>
      <c r="D132" s="37" t="s">
        <v>1887</v>
      </c>
      <c r="E132" s="38">
        <v>0</v>
      </c>
      <c r="F132" s="38">
        <v>0</v>
      </c>
      <c r="G132" s="38">
        <v>0</v>
      </c>
      <c r="H132" s="38">
        <v>0</v>
      </c>
      <c r="I132" s="38">
        <v>0</v>
      </c>
      <c r="J132" s="38">
        <v>0</v>
      </c>
      <c r="K132" s="38">
        <v>0</v>
      </c>
      <c r="L132" s="38">
        <v>0</v>
      </c>
      <c r="M132" s="38">
        <v>0</v>
      </c>
      <c r="N132" s="38">
        <v>0</v>
      </c>
      <c r="O132" s="38">
        <v>0</v>
      </c>
      <c r="P132" s="38">
        <v>0</v>
      </c>
    </row>
    <row r="133" spans="1:16" ht="23.25">
      <c r="A133" s="35" t="s">
        <v>1884</v>
      </c>
      <c r="B133" s="39" t="s">
        <v>1966</v>
      </c>
      <c r="C133" s="61" t="s">
        <v>2085</v>
      </c>
      <c r="D133" s="37" t="s">
        <v>1887</v>
      </c>
      <c r="E133" s="38">
        <v>0</v>
      </c>
      <c r="F133" s="38">
        <v>0</v>
      </c>
      <c r="G133" s="38">
        <v>0</v>
      </c>
      <c r="H133" s="38">
        <v>0</v>
      </c>
      <c r="I133" s="38">
        <v>0</v>
      </c>
      <c r="J133" s="38">
        <v>0</v>
      </c>
      <c r="K133" s="38">
        <v>0</v>
      </c>
      <c r="L133" s="38">
        <v>0</v>
      </c>
      <c r="M133" s="38">
        <v>0</v>
      </c>
      <c r="N133" s="38">
        <v>0</v>
      </c>
      <c r="O133" s="38">
        <v>0</v>
      </c>
      <c r="P133" s="38">
        <v>0</v>
      </c>
    </row>
    <row r="134" spans="1:16" ht="23.25">
      <c r="A134" s="35" t="s">
        <v>1884</v>
      </c>
      <c r="B134" s="39" t="s">
        <v>2086</v>
      </c>
      <c r="C134" s="61" t="s">
        <v>2087</v>
      </c>
      <c r="D134" s="37" t="s">
        <v>1887</v>
      </c>
      <c r="E134" s="38">
        <v>0</v>
      </c>
      <c r="F134" s="38">
        <v>0</v>
      </c>
      <c r="G134" s="38">
        <v>0</v>
      </c>
      <c r="H134" s="38">
        <v>0</v>
      </c>
      <c r="I134" s="38">
        <v>0</v>
      </c>
      <c r="J134" s="38">
        <v>0</v>
      </c>
      <c r="K134" s="38">
        <v>0</v>
      </c>
      <c r="L134" s="38">
        <v>0</v>
      </c>
      <c r="M134" s="38">
        <v>0</v>
      </c>
      <c r="N134" s="38">
        <v>0</v>
      </c>
      <c r="O134" s="38">
        <v>0</v>
      </c>
      <c r="P134" s="38">
        <v>0</v>
      </c>
    </row>
    <row r="135" spans="1:16" ht="23.25">
      <c r="A135" s="35" t="s">
        <v>1884</v>
      </c>
      <c r="B135" s="39" t="s">
        <v>2052</v>
      </c>
      <c r="C135" s="61" t="s">
        <v>2088</v>
      </c>
      <c r="D135" s="37" t="s">
        <v>1887</v>
      </c>
      <c r="E135" s="38">
        <v>225338.3658</v>
      </c>
      <c r="F135" s="38">
        <v>2034.2</v>
      </c>
      <c r="G135" s="38">
        <v>179039.65849999999</v>
      </c>
      <c r="H135" s="38">
        <v>1491.5</v>
      </c>
      <c r="I135" s="38">
        <v>890677.49979999999</v>
      </c>
      <c r="J135" s="38">
        <v>6950.2</v>
      </c>
      <c r="K135" s="38">
        <v>742913.54960000003</v>
      </c>
      <c r="L135" s="38">
        <v>6400.4</v>
      </c>
      <c r="M135" s="38">
        <v>30077.6525</v>
      </c>
      <c r="N135" s="38">
        <v>297.5</v>
      </c>
      <c r="O135" s="38">
        <v>0</v>
      </c>
      <c r="P135" s="38">
        <v>0</v>
      </c>
    </row>
    <row r="136" spans="1:16" ht="23.25">
      <c r="A136" s="35" t="s">
        <v>1884</v>
      </c>
      <c r="B136" s="39" t="s">
        <v>2089</v>
      </c>
      <c r="C136" s="61" t="s">
        <v>2090</v>
      </c>
      <c r="D136" s="37" t="s">
        <v>1981</v>
      </c>
      <c r="E136" s="38">
        <v>196472.82800000001</v>
      </c>
      <c r="F136" s="38">
        <v>1672</v>
      </c>
      <c r="G136" s="38">
        <v>173483.7591</v>
      </c>
      <c r="H136" s="38">
        <v>1590.9</v>
      </c>
      <c r="I136" s="38">
        <v>169349.04399999999</v>
      </c>
      <c r="J136" s="38">
        <v>1556</v>
      </c>
      <c r="K136" s="38">
        <v>203202.25580000001</v>
      </c>
      <c r="L136" s="38">
        <v>1794.2</v>
      </c>
      <c r="M136" s="38">
        <v>91801.012499999997</v>
      </c>
      <c r="N136" s="38">
        <v>637.5</v>
      </c>
      <c r="O136" s="38">
        <v>0</v>
      </c>
      <c r="P136" s="38">
        <v>0</v>
      </c>
    </row>
    <row r="137" spans="1:16" ht="23.25">
      <c r="A137" s="35" t="s">
        <v>1884</v>
      </c>
      <c r="B137" s="39" t="s">
        <v>1975</v>
      </c>
      <c r="C137" s="61" t="s">
        <v>2091</v>
      </c>
      <c r="D137" s="37" t="s">
        <v>1981</v>
      </c>
      <c r="E137" s="38">
        <v>0</v>
      </c>
      <c r="F137" s="38">
        <v>0</v>
      </c>
      <c r="G137" s="38">
        <v>0</v>
      </c>
      <c r="H137" s="38">
        <v>0</v>
      </c>
      <c r="I137" s="38">
        <v>0</v>
      </c>
      <c r="J137" s="38">
        <v>0</v>
      </c>
      <c r="K137" s="38">
        <v>0</v>
      </c>
      <c r="L137" s="38">
        <v>0</v>
      </c>
      <c r="M137" s="38">
        <v>0</v>
      </c>
      <c r="N137" s="38">
        <v>0</v>
      </c>
      <c r="O137" s="38">
        <v>0</v>
      </c>
      <c r="P137" s="38">
        <v>0</v>
      </c>
    </row>
    <row r="138" spans="1:16" ht="23.25">
      <c r="A138" s="35" t="s">
        <v>1884</v>
      </c>
      <c r="B138" s="39" t="s">
        <v>2092</v>
      </c>
      <c r="C138" s="61" t="s">
        <v>2093</v>
      </c>
      <c r="D138" s="37" t="s">
        <v>1981</v>
      </c>
      <c r="E138" s="38">
        <v>0</v>
      </c>
      <c r="F138" s="38">
        <v>0</v>
      </c>
      <c r="G138" s="38">
        <v>0</v>
      </c>
      <c r="H138" s="38">
        <v>0</v>
      </c>
      <c r="I138" s="38">
        <v>0</v>
      </c>
      <c r="J138" s="38">
        <v>0</v>
      </c>
      <c r="K138" s="38">
        <v>0</v>
      </c>
      <c r="L138" s="38">
        <v>0</v>
      </c>
      <c r="M138" s="38">
        <v>0</v>
      </c>
      <c r="N138" s="38">
        <v>0</v>
      </c>
      <c r="O138" s="38">
        <v>0</v>
      </c>
      <c r="P138" s="38">
        <v>0</v>
      </c>
    </row>
    <row r="139" spans="1:16" ht="23.25">
      <c r="A139" s="35" t="s">
        <v>1884</v>
      </c>
      <c r="B139" s="39" t="s">
        <v>2028</v>
      </c>
      <c r="C139" s="61" t="s">
        <v>1315</v>
      </c>
      <c r="D139" s="37" t="s">
        <v>1981</v>
      </c>
      <c r="E139" s="38"/>
      <c r="F139" s="38"/>
      <c r="G139" s="38"/>
      <c r="H139" s="38"/>
      <c r="I139" s="38"/>
      <c r="J139" s="38"/>
      <c r="K139" s="38">
        <v>0</v>
      </c>
      <c r="L139" s="38">
        <v>0</v>
      </c>
      <c r="M139" s="38"/>
      <c r="N139" s="38"/>
      <c r="O139" s="38">
        <v>0</v>
      </c>
      <c r="P139" s="38">
        <v>0</v>
      </c>
    </row>
    <row r="140" spans="1:16" ht="23.25">
      <c r="A140" s="35" t="s">
        <v>1884</v>
      </c>
      <c r="B140" s="39" t="s">
        <v>2000</v>
      </c>
      <c r="C140" s="61" t="s">
        <v>2094</v>
      </c>
      <c r="D140" s="37" t="s">
        <v>1887</v>
      </c>
      <c r="E140" s="38">
        <v>228598.20430000001</v>
      </c>
      <c r="F140" s="38">
        <v>1795.7</v>
      </c>
      <c r="G140" s="38">
        <v>276707.98830000003</v>
      </c>
      <c r="H140" s="38">
        <v>2311.6999999999998</v>
      </c>
      <c r="I140" s="38">
        <v>392623.51030000002</v>
      </c>
      <c r="J140" s="38">
        <v>3489.7</v>
      </c>
      <c r="K140" s="38">
        <v>311390.27269999997</v>
      </c>
      <c r="L140" s="38">
        <v>2577.3000000000002</v>
      </c>
      <c r="M140" s="38">
        <v>0</v>
      </c>
      <c r="N140" s="38">
        <v>0</v>
      </c>
      <c r="O140" s="38">
        <v>0</v>
      </c>
      <c r="P140" s="38">
        <v>0</v>
      </c>
    </row>
    <row r="141" spans="1:16" ht="23.25">
      <c r="A141" s="35" t="s">
        <v>1884</v>
      </c>
      <c r="B141" s="36" t="s">
        <v>2095</v>
      </c>
      <c r="C141" s="60" t="s">
        <v>966</v>
      </c>
      <c r="D141" s="37" t="s">
        <v>1887</v>
      </c>
      <c r="E141" s="38">
        <v>0</v>
      </c>
      <c r="F141" s="38">
        <v>0</v>
      </c>
      <c r="G141" s="38">
        <v>0</v>
      </c>
      <c r="H141" s="38">
        <v>0</v>
      </c>
      <c r="I141" s="38">
        <v>0</v>
      </c>
      <c r="J141" s="38">
        <v>0</v>
      </c>
      <c r="K141" s="38">
        <v>0</v>
      </c>
      <c r="L141" s="38">
        <v>0</v>
      </c>
      <c r="M141" s="38">
        <v>0</v>
      </c>
      <c r="N141" s="38">
        <v>0</v>
      </c>
      <c r="O141" s="38">
        <v>0</v>
      </c>
      <c r="P141" s="38">
        <v>0</v>
      </c>
    </row>
    <row r="142" spans="1:16" ht="23.25">
      <c r="A142" s="35" t="s">
        <v>1884</v>
      </c>
      <c r="B142" s="36" t="s">
        <v>1247</v>
      </c>
      <c r="C142" s="60">
        <v>15700023</v>
      </c>
      <c r="D142" s="37" t="s">
        <v>1981</v>
      </c>
      <c r="E142" s="38"/>
      <c r="F142" s="38"/>
      <c r="G142" s="38"/>
      <c r="H142" s="38"/>
      <c r="I142" s="38"/>
      <c r="J142" s="38"/>
      <c r="K142" s="38">
        <v>0</v>
      </c>
      <c r="L142" s="38">
        <v>0</v>
      </c>
      <c r="M142" s="38"/>
      <c r="N142" s="38"/>
      <c r="O142" s="38">
        <v>929.4914</v>
      </c>
      <c r="P142" s="38">
        <v>8.6</v>
      </c>
    </row>
    <row r="143" spans="1:16" ht="23.25">
      <c r="A143" s="35" t="s">
        <v>1884</v>
      </c>
      <c r="B143" s="36" t="s">
        <v>1263</v>
      </c>
      <c r="C143" s="60">
        <v>15700025</v>
      </c>
      <c r="D143" s="37" t="s">
        <v>1981</v>
      </c>
      <c r="E143" s="38"/>
      <c r="F143" s="38"/>
      <c r="G143" s="38"/>
      <c r="H143" s="38"/>
      <c r="I143" s="38"/>
      <c r="J143" s="38"/>
      <c r="K143" s="38">
        <v>0</v>
      </c>
      <c r="L143" s="38">
        <v>0</v>
      </c>
      <c r="M143" s="38"/>
      <c r="N143" s="38"/>
      <c r="O143" s="38">
        <v>0</v>
      </c>
      <c r="P143" s="38">
        <v>0</v>
      </c>
    </row>
    <row r="144" spans="1:16" ht="23.25">
      <c r="A144" s="35" t="s">
        <v>1884</v>
      </c>
      <c r="B144" s="39" t="s">
        <v>2096</v>
      </c>
      <c r="C144" s="61" t="s">
        <v>2097</v>
      </c>
      <c r="D144" s="37" t="s">
        <v>1981</v>
      </c>
      <c r="E144" s="38">
        <v>0</v>
      </c>
      <c r="F144" s="38">
        <v>0</v>
      </c>
      <c r="G144" s="38">
        <v>0</v>
      </c>
      <c r="H144" s="38">
        <v>0</v>
      </c>
      <c r="I144" s="38">
        <v>0</v>
      </c>
      <c r="J144" s="38">
        <v>0</v>
      </c>
      <c r="K144" s="38">
        <v>0</v>
      </c>
      <c r="L144" s="38">
        <v>0</v>
      </c>
      <c r="M144" s="38">
        <v>0</v>
      </c>
      <c r="N144" s="38">
        <v>0</v>
      </c>
      <c r="O144" s="38">
        <v>0</v>
      </c>
      <c r="P144" s="38">
        <v>0</v>
      </c>
    </row>
    <row r="145" spans="1:16" ht="23.25">
      <c r="A145" s="35" t="s">
        <v>22</v>
      </c>
      <c r="B145" s="36" t="s">
        <v>2098</v>
      </c>
      <c r="C145" s="60" t="s">
        <v>871</v>
      </c>
      <c r="D145" s="37" t="s">
        <v>1887</v>
      </c>
      <c r="E145" s="38">
        <v>699706.25089999998</v>
      </c>
      <c r="F145" s="38">
        <v>6349.1</v>
      </c>
      <c r="G145" s="38">
        <v>829855.45520000008</v>
      </c>
      <c r="H145" s="38">
        <v>7794.8</v>
      </c>
      <c r="I145" s="38">
        <v>931807.57429999998</v>
      </c>
      <c r="J145" s="38">
        <v>8375.7000000000007</v>
      </c>
      <c r="K145" s="38">
        <v>637533.7402</v>
      </c>
      <c r="L145" s="38">
        <v>6009.8</v>
      </c>
      <c r="M145" s="38">
        <v>742616.68200000003</v>
      </c>
      <c r="N145" s="38">
        <v>7068</v>
      </c>
      <c r="O145" s="38">
        <v>588451.6716</v>
      </c>
      <c r="P145" s="38">
        <v>5678.4</v>
      </c>
    </row>
    <row r="146" spans="1:16" ht="23.25">
      <c r="A146" s="35" t="s">
        <v>2099</v>
      </c>
      <c r="B146" s="36" t="s">
        <v>1843</v>
      </c>
      <c r="C146" s="60" t="s">
        <v>739</v>
      </c>
      <c r="D146" s="37" t="s">
        <v>1887</v>
      </c>
      <c r="E146" s="47">
        <v>312475.75614999997</v>
      </c>
      <c r="F146" s="47">
        <v>3093.85</v>
      </c>
      <c r="G146" s="47">
        <v>0</v>
      </c>
      <c r="H146" s="47">
        <v>0</v>
      </c>
      <c r="I146" s="47">
        <v>375609.23105990101</v>
      </c>
      <c r="J146" s="47">
        <v>3718.9400990099011</v>
      </c>
      <c r="K146" s="47">
        <v>144264.02162920791</v>
      </c>
      <c r="L146" s="47">
        <v>1428.3707920792081</v>
      </c>
      <c r="M146" s="47">
        <v>372792.35894999997</v>
      </c>
      <c r="N146" s="47">
        <v>3691.05</v>
      </c>
      <c r="O146" s="47">
        <v>92348.435649999999</v>
      </c>
      <c r="P146" s="47">
        <v>914.35</v>
      </c>
    </row>
    <row r="147" spans="1:16" ht="23.25">
      <c r="A147" s="35" t="s">
        <v>2099</v>
      </c>
      <c r="B147" s="36" t="s">
        <v>2100</v>
      </c>
      <c r="C147" s="60" t="s">
        <v>745</v>
      </c>
      <c r="D147" s="37" t="s">
        <v>1887</v>
      </c>
      <c r="E147" s="47">
        <v>253483.96980000002</v>
      </c>
      <c r="F147" s="47">
        <v>2480.1999999999998</v>
      </c>
      <c r="G147" s="47">
        <v>213072.07490000001</v>
      </c>
      <c r="H147" s="47">
        <v>2025.1</v>
      </c>
      <c r="I147" s="47">
        <v>262020.77119999999</v>
      </c>
      <c r="J147" s="47">
        <v>2528.8000000000002</v>
      </c>
      <c r="K147" s="47">
        <v>302286.03639999998</v>
      </c>
      <c r="L147" s="47">
        <v>2963.6</v>
      </c>
      <c r="M147" s="47">
        <v>349719.91639999999</v>
      </c>
      <c r="N147" s="47">
        <v>3433.6</v>
      </c>
      <c r="O147" s="47">
        <v>289979.97769999999</v>
      </c>
      <c r="P147" s="47">
        <v>2822.3</v>
      </c>
    </row>
  </sheetData>
  <conditionalFormatting sqref="C1">
    <cfRule type="duplicateValues" dxfId="2" priority="1"/>
  </conditionalFormatting>
  <conditionalFormatting sqref="D1"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5BA0-C954-45EE-8F50-C6F0564A350C}">
  <dimension ref="A1:L122"/>
  <sheetViews>
    <sheetView workbookViewId="0">
      <selection activeCell="E23" sqref="E23"/>
    </sheetView>
  </sheetViews>
  <sheetFormatPr defaultRowHeight="15"/>
  <cols>
    <col min="1" max="1" width="10.5703125" bestFit="1" customWidth="1"/>
    <col min="2" max="2" width="16.5703125" bestFit="1" customWidth="1"/>
    <col min="3" max="3" width="20" style="169" bestFit="1" customWidth="1"/>
    <col min="4" max="4" width="19.85546875" bestFit="1" customWidth="1"/>
    <col min="5" max="5" width="16.42578125" bestFit="1" customWidth="1"/>
    <col min="6" max="6" width="18.28515625" bestFit="1" customWidth="1"/>
    <col min="7" max="7" width="18.140625" bestFit="1" customWidth="1"/>
    <col min="8" max="8" width="16.42578125" bestFit="1" customWidth="1"/>
    <col min="9" max="9" width="18.5703125" bestFit="1" customWidth="1"/>
    <col min="10" max="10" width="18.42578125" bestFit="1" customWidth="1"/>
    <col min="11" max="11" width="14.85546875" bestFit="1" customWidth="1"/>
    <col min="12" max="12" width="29.28515625" bestFit="1" customWidth="1"/>
  </cols>
  <sheetData>
    <row r="1" spans="1:12">
      <c r="A1" t="s">
        <v>2120</v>
      </c>
      <c r="B1" t="s">
        <v>2121</v>
      </c>
      <c r="C1" s="169" t="s">
        <v>2122</v>
      </c>
      <c r="D1" t="s">
        <v>2123</v>
      </c>
      <c r="E1" t="s">
        <v>2124</v>
      </c>
      <c r="F1" t="s">
        <v>2125</v>
      </c>
      <c r="G1" t="s">
        <v>2126</v>
      </c>
      <c r="H1" t="s">
        <v>2127</v>
      </c>
      <c r="I1" t="s">
        <v>2128</v>
      </c>
      <c r="J1" t="s">
        <v>2129</v>
      </c>
      <c r="K1" t="s">
        <v>2130</v>
      </c>
      <c r="L1" t="s">
        <v>2131</v>
      </c>
    </row>
    <row r="2" spans="1:12">
      <c r="A2">
        <v>15906</v>
      </c>
      <c r="B2" s="168">
        <v>4101625</v>
      </c>
      <c r="C2" s="170">
        <v>4097625</v>
      </c>
      <c r="D2" s="168">
        <v>4000</v>
      </c>
      <c r="E2" s="168">
        <v>405131625</v>
      </c>
      <c r="F2" s="168">
        <v>404000</v>
      </c>
      <c r="G2" s="168">
        <v>404727625</v>
      </c>
      <c r="H2" s="168">
        <v>401030000</v>
      </c>
      <c r="I2" s="168">
        <v>-3693625</v>
      </c>
      <c r="J2" s="168">
        <v>404723625</v>
      </c>
      <c r="K2" t="s">
        <v>1761</v>
      </c>
      <c r="L2" t="s">
        <v>2132</v>
      </c>
    </row>
    <row r="3" spans="1:12">
      <c r="A3">
        <v>22374</v>
      </c>
      <c r="B3" s="168">
        <v>3798600</v>
      </c>
      <c r="C3" s="170">
        <v>3789100</v>
      </c>
      <c r="D3" s="168">
        <v>9500</v>
      </c>
      <c r="E3" s="168">
        <v>382708600</v>
      </c>
      <c r="F3" s="168">
        <v>959500</v>
      </c>
      <c r="G3" s="168">
        <v>381749100</v>
      </c>
      <c r="H3" s="168">
        <v>378910000</v>
      </c>
      <c r="I3" s="168">
        <v>-2829600</v>
      </c>
      <c r="J3" s="168">
        <v>381739600</v>
      </c>
      <c r="K3" t="s">
        <v>1763</v>
      </c>
      <c r="L3" t="s">
        <v>2133</v>
      </c>
    </row>
    <row r="4" spans="1:12">
      <c r="A4">
        <v>29638</v>
      </c>
      <c r="B4" s="168">
        <v>14776050</v>
      </c>
      <c r="C4" s="170">
        <v>14776050</v>
      </c>
      <c r="D4" s="168">
        <v>0</v>
      </c>
      <c r="E4" s="168">
        <v>1467266050</v>
      </c>
      <c r="F4" s="168">
        <v>0</v>
      </c>
      <c r="G4" s="168">
        <v>1467266050</v>
      </c>
      <c r="H4" s="168">
        <v>1452490000</v>
      </c>
      <c r="I4" s="168">
        <v>-14776050</v>
      </c>
      <c r="J4" s="168">
        <v>1467266050</v>
      </c>
      <c r="K4" t="s">
        <v>1763</v>
      </c>
      <c r="L4" t="s">
        <v>2133</v>
      </c>
    </row>
    <row r="5" spans="1:12">
      <c r="A5">
        <v>39996</v>
      </c>
      <c r="B5" s="168">
        <v>8298700</v>
      </c>
      <c r="C5" s="170">
        <v>8298700</v>
      </c>
      <c r="D5" s="168">
        <v>0</v>
      </c>
      <c r="E5" s="168">
        <v>855963100</v>
      </c>
      <c r="F5" s="168">
        <v>16111500</v>
      </c>
      <c r="G5" s="168">
        <v>839851600</v>
      </c>
      <c r="H5" s="168">
        <v>847664400</v>
      </c>
      <c r="I5" s="168">
        <v>7812800</v>
      </c>
      <c r="J5" s="168">
        <v>839851600</v>
      </c>
      <c r="K5" t="s">
        <v>1756</v>
      </c>
      <c r="L5" t="s">
        <v>2134</v>
      </c>
    </row>
    <row r="6" spans="1:12">
      <c r="A6">
        <v>28433</v>
      </c>
      <c r="B6" s="168">
        <v>108300</v>
      </c>
      <c r="C6" s="170">
        <v>108300</v>
      </c>
      <c r="D6" s="168">
        <v>0</v>
      </c>
      <c r="E6" s="168">
        <v>148978300</v>
      </c>
      <c r="F6" s="168">
        <v>0</v>
      </c>
      <c r="G6" s="168">
        <v>148978300</v>
      </c>
      <c r="H6" s="168">
        <v>148870000</v>
      </c>
      <c r="I6" s="168">
        <v>-108300</v>
      </c>
      <c r="J6" s="168">
        <v>148978300</v>
      </c>
      <c r="K6" t="s">
        <v>2135</v>
      </c>
      <c r="L6" t="s">
        <v>2136</v>
      </c>
    </row>
    <row r="7" spans="1:12">
      <c r="A7">
        <v>34789</v>
      </c>
      <c r="B7" s="168">
        <v>6889850</v>
      </c>
      <c r="C7" s="170">
        <v>6889850</v>
      </c>
      <c r="D7" s="168">
        <v>0</v>
      </c>
      <c r="E7" s="168">
        <v>676179850</v>
      </c>
      <c r="F7" s="168">
        <v>0</v>
      </c>
      <c r="G7" s="168">
        <v>676179850</v>
      </c>
      <c r="H7" s="168">
        <v>669290000</v>
      </c>
      <c r="I7" s="168">
        <v>-6889850</v>
      </c>
      <c r="J7" s="168">
        <v>676179850</v>
      </c>
      <c r="K7" t="s">
        <v>1765</v>
      </c>
      <c r="L7" t="s">
        <v>2137</v>
      </c>
    </row>
    <row r="8" spans="1:12">
      <c r="A8">
        <v>26088</v>
      </c>
      <c r="B8" s="168">
        <v>4201300</v>
      </c>
      <c r="C8" s="170">
        <v>4201300</v>
      </c>
      <c r="D8" s="168">
        <v>0</v>
      </c>
      <c r="E8" s="168">
        <v>416671300</v>
      </c>
      <c r="F8" s="168">
        <v>0</v>
      </c>
      <c r="G8" s="168">
        <v>416671300</v>
      </c>
      <c r="H8" s="168">
        <v>412470000</v>
      </c>
      <c r="I8" s="168">
        <v>-4201300</v>
      </c>
      <c r="J8" s="168">
        <v>416671300</v>
      </c>
      <c r="K8" t="s">
        <v>1760</v>
      </c>
      <c r="L8" t="s">
        <v>2138</v>
      </c>
    </row>
    <row r="9" spans="1:12">
      <c r="A9">
        <v>21147</v>
      </c>
      <c r="B9" s="168">
        <v>7970650</v>
      </c>
      <c r="C9" s="170">
        <v>7930650</v>
      </c>
      <c r="D9" s="168">
        <v>40000</v>
      </c>
      <c r="E9" s="168">
        <v>797100650</v>
      </c>
      <c r="F9" s="168">
        <v>4040000</v>
      </c>
      <c r="G9" s="168">
        <v>793060650</v>
      </c>
      <c r="H9" s="168">
        <v>789130000</v>
      </c>
      <c r="I9" s="168">
        <v>-3890650</v>
      </c>
      <c r="J9" s="168">
        <v>793020650</v>
      </c>
      <c r="K9" t="s">
        <v>1756</v>
      </c>
      <c r="L9" t="s">
        <v>2134</v>
      </c>
    </row>
    <row r="10" spans="1:12">
      <c r="A10">
        <v>25736</v>
      </c>
      <c r="B10" s="168">
        <v>3225950</v>
      </c>
      <c r="C10" s="170">
        <v>3225950</v>
      </c>
      <c r="D10" s="168">
        <v>0</v>
      </c>
      <c r="E10" s="168">
        <v>306675950</v>
      </c>
      <c r="F10" s="168">
        <v>0</v>
      </c>
      <c r="G10" s="168">
        <v>306675950</v>
      </c>
      <c r="H10" s="168">
        <v>303450000</v>
      </c>
      <c r="I10" s="168">
        <v>-3225950</v>
      </c>
      <c r="J10" s="168">
        <v>306675950</v>
      </c>
      <c r="K10" t="s">
        <v>1768</v>
      </c>
      <c r="L10" t="s">
        <v>2139</v>
      </c>
    </row>
    <row r="11" spans="1:12">
      <c r="A11">
        <v>21299</v>
      </c>
      <c r="B11" s="168">
        <v>5587850</v>
      </c>
      <c r="C11" s="170">
        <v>5587850</v>
      </c>
      <c r="D11" s="168">
        <v>0</v>
      </c>
      <c r="E11" s="168">
        <v>560307850</v>
      </c>
      <c r="F11" s="168">
        <v>0</v>
      </c>
      <c r="G11" s="168">
        <v>560307850</v>
      </c>
      <c r="H11" s="168">
        <v>554720000</v>
      </c>
      <c r="I11" s="168">
        <v>-5587850</v>
      </c>
      <c r="J11" s="168">
        <v>560307850</v>
      </c>
      <c r="K11" t="s">
        <v>1756</v>
      </c>
      <c r="L11" t="s">
        <v>2134</v>
      </c>
    </row>
    <row r="12" spans="1:12">
      <c r="A12">
        <v>21533</v>
      </c>
      <c r="B12" s="168">
        <v>7145900</v>
      </c>
      <c r="C12" s="170">
        <v>7145900</v>
      </c>
      <c r="D12" s="168">
        <v>0</v>
      </c>
      <c r="E12" s="168">
        <v>707345900</v>
      </c>
      <c r="F12" s="168">
        <v>0</v>
      </c>
      <c r="G12" s="168">
        <v>707345900</v>
      </c>
      <c r="H12" s="168">
        <v>700200000</v>
      </c>
      <c r="I12" s="168">
        <v>-7145900</v>
      </c>
      <c r="J12" s="168">
        <v>707345900</v>
      </c>
      <c r="K12" t="s">
        <v>1761</v>
      </c>
      <c r="L12" t="s">
        <v>2132</v>
      </c>
    </row>
    <row r="13" spans="1:12">
      <c r="A13">
        <v>22015</v>
      </c>
      <c r="B13" s="168">
        <v>1507000</v>
      </c>
      <c r="C13" s="170">
        <v>1507000</v>
      </c>
      <c r="D13" s="168">
        <v>0</v>
      </c>
      <c r="E13" s="168">
        <v>149707000</v>
      </c>
      <c r="F13" s="168">
        <v>0</v>
      </c>
      <c r="G13" s="168">
        <v>149707000</v>
      </c>
      <c r="H13" s="168">
        <v>148200000</v>
      </c>
      <c r="I13" s="168">
        <v>-1507000</v>
      </c>
      <c r="J13" s="168">
        <v>149707000</v>
      </c>
      <c r="K13" t="s">
        <v>1768</v>
      </c>
      <c r="L13" t="s">
        <v>2139</v>
      </c>
    </row>
    <row r="14" spans="1:12">
      <c r="A14">
        <v>22315</v>
      </c>
      <c r="B14" s="168">
        <v>869750</v>
      </c>
      <c r="C14" s="170">
        <v>869750</v>
      </c>
      <c r="D14" s="168">
        <v>0</v>
      </c>
      <c r="E14" s="168">
        <v>141419750</v>
      </c>
      <c r="F14" s="168">
        <v>0</v>
      </c>
      <c r="G14" s="168">
        <v>141419750</v>
      </c>
      <c r="H14" s="168">
        <v>140550000</v>
      </c>
      <c r="I14" s="168">
        <v>-869750</v>
      </c>
      <c r="J14" s="168">
        <v>141419750</v>
      </c>
      <c r="K14" t="s">
        <v>1768</v>
      </c>
      <c r="L14" t="s">
        <v>2139</v>
      </c>
    </row>
    <row r="15" spans="1:12">
      <c r="A15">
        <v>15896</v>
      </c>
      <c r="B15" s="168">
        <v>8626000</v>
      </c>
      <c r="C15" s="170">
        <v>8626000</v>
      </c>
      <c r="D15" s="168">
        <v>0</v>
      </c>
      <c r="E15" s="168">
        <v>862526000</v>
      </c>
      <c r="F15" s="168">
        <v>0</v>
      </c>
      <c r="G15" s="168">
        <v>862526000</v>
      </c>
      <c r="H15" s="168">
        <v>853900000</v>
      </c>
      <c r="I15" s="168">
        <v>-8626000</v>
      </c>
      <c r="J15" s="168">
        <v>862526000</v>
      </c>
      <c r="K15" t="s">
        <v>1757</v>
      </c>
      <c r="L15" t="s">
        <v>2140</v>
      </c>
    </row>
    <row r="16" spans="1:12">
      <c r="A16">
        <v>21302</v>
      </c>
      <c r="B16" s="168">
        <v>13053900</v>
      </c>
      <c r="C16" s="170">
        <v>13053900</v>
      </c>
      <c r="D16" s="168">
        <v>0</v>
      </c>
      <c r="E16" s="168">
        <v>1301813900</v>
      </c>
      <c r="F16" s="168">
        <v>0</v>
      </c>
      <c r="G16" s="168">
        <v>1301813900</v>
      </c>
      <c r="H16" s="168">
        <v>1288760000</v>
      </c>
      <c r="I16" s="168">
        <v>-13053900</v>
      </c>
      <c r="J16" s="168">
        <v>1301813900</v>
      </c>
      <c r="K16" t="s">
        <v>1755</v>
      </c>
      <c r="L16" t="s">
        <v>2141</v>
      </c>
    </row>
    <row r="17" spans="1:12">
      <c r="A17">
        <v>21376</v>
      </c>
      <c r="B17" s="168">
        <v>32592500</v>
      </c>
      <c r="C17" s="170">
        <v>32592500</v>
      </c>
      <c r="D17" s="168">
        <v>0</v>
      </c>
      <c r="E17" s="168">
        <v>3276812500</v>
      </c>
      <c r="F17" s="168">
        <v>0</v>
      </c>
      <c r="G17" s="168">
        <v>3276812500</v>
      </c>
      <c r="H17" s="168">
        <v>3244220000</v>
      </c>
      <c r="I17" s="168">
        <v>-32592500</v>
      </c>
      <c r="J17" s="168">
        <v>3276812500</v>
      </c>
      <c r="K17" t="s">
        <v>1757</v>
      </c>
      <c r="L17" t="s">
        <v>2140</v>
      </c>
    </row>
    <row r="18" spans="1:12">
      <c r="A18">
        <v>27540</v>
      </c>
      <c r="B18" s="168">
        <v>87000</v>
      </c>
      <c r="C18" s="170">
        <v>87000</v>
      </c>
      <c r="D18" s="168">
        <v>0</v>
      </c>
      <c r="E18" s="168">
        <v>271877000</v>
      </c>
      <c r="F18" s="168">
        <v>0</v>
      </c>
      <c r="G18" s="168">
        <v>271877000</v>
      </c>
      <c r="H18" s="168">
        <v>271790000</v>
      </c>
      <c r="I18" s="168">
        <v>-87000</v>
      </c>
      <c r="J18" s="168">
        <v>271877000</v>
      </c>
      <c r="K18" t="s">
        <v>1762</v>
      </c>
      <c r="L18" t="s">
        <v>2142</v>
      </c>
    </row>
    <row r="19" spans="1:12">
      <c r="A19">
        <v>29639</v>
      </c>
      <c r="B19" s="168">
        <v>14905250</v>
      </c>
      <c r="C19" s="170">
        <v>14904250</v>
      </c>
      <c r="D19" s="168">
        <v>1000</v>
      </c>
      <c r="E19" s="168">
        <v>1492585250</v>
      </c>
      <c r="F19" s="168">
        <v>101000</v>
      </c>
      <c r="G19" s="168">
        <v>1492484250</v>
      </c>
      <c r="H19" s="168">
        <v>1477680000</v>
      </c>
      <c r="I19" s="168">
        <v>-14803250</v>
      </c>
      <c r="J19" s="168">
        <v>1492483250</v>
      </c>
      <c r="K19" t="s">
        <v>1763</v>
      </c>
      <c r="L19" t="s">
        <v>2133</v>
      </c>
    </row>
    <row r="20" spans="1:12">
      <c r="A20">
        <v>18105</v>
      </c>
      <c r="B20" s="168">
        <v>1593250</v>
      </c>
      <c r="C20" s="170">
        <v>1593250</v>
      </c>
      <c r="D20" s="168">
        <v>0</v>
      </c>
      <c r="E20" s="168">
        <v>160033250</v>
      </c>
      <c r="F20" s="168">
        <v>0</v>
      </c>
      <c r="G20" s="168">
        <v>160033250</v>
      </c>
      <c r="H20" s="168">
        <v>158440000</v>
      </c>
      <c r="I20" s="168">
        <v>-1593250</v>
      </c>
      <c r="J20" s="168">
        <v>160033250</v>
      </c>
      <c r="K20" t="s">
        <v>1767</v>
      </c>
      <c r="L20" t="s">
        <v>2143</v>
      </c>
    </row>
    <row r="21" spans="1:12">
      <c r="A21">
        <v>21088</v>
      </c>
      <c r="B21" s="168">
        <v>18336100</v>
      </c>
      <c r="C21" s="170">
        <v>18307100</v>
      </c>
      <c r="D21" s="168">
        <v>29000</v>
      </c>
      <c r="E21" s="168">
        <v>1828706100</v>
      </c>
      <c r="F21" s="168">
        <v>2929000</v>
      </c>
      <c r="G21" s="168">
        <v>1825777100</v>
      </c>
      <c r="H21" s="168">
        <v>1810370000</v>
      </c>
      <c r="I21" s="168">
        <v>-15378100</v>
      </c>
      <c r="J21" s="168">
        <v>1825748100</v>
      </c>
      <c r="K21" t="s">
        <v>1766</v>
      </c>
      <c r="L21" t="s">
        <v>2144</v>
      </c>
    </row>
    <row r="22" spans="1:12">
      <c r="A22">
        <v>22293</v>
      </c>
      <c r="B22" s="168">
        <v>6042550</v>
      </c>
      <c r="C22" s="170">
        <v>6042550</v>
      </c>
      <c r="D22" s="168">
        <v>0</v>
      </c>
      <c r="E22" s="168">
        <v>590382550</v>
      </c>
      <c r="F22" s="168">
        <v>0</v>
      </c>
      <c r="G22" s="168">
        <v>590382550</v>
      </c>
      <c r="H22" s="168">
        <v>584340000</v>
      </c>
      <c r="I22" s="168">
        <v>-6042550</v>
      </c>
      <c r="J22" s="168">
        <v>590382550</v>
      </c>
      <c r="K22" t="s">
        <v>1765</v>
      </c>
      <c r="L22" t="s">
        <v>2137</v>
      </c>
    </row>
    <row r="23" spans="1:12">
      <c r="A23">
        <v>26841</v>
      </c>
      <c r="B23" s="168">
        <v>1914750</v>
      </c>
      <c r="C23" s="170">
        <v>1914750</v>
      </c>
      <c r="D23" s="168">
        <v>0</v>
      </c>
      <c r="E23" s="168">
        <v>189864750</v>
      </c>
      <c r="F23" s="168">
        <v>0</v>
      </c>
      <c r="G23" s="168">
        <v>189864750</v>
      </c>
      <c r="H23" s="168">
        <v>187950000</v>
      </c>
      <c r="I23" s="168">
        <v>-1914750</v>
      </c>
      <c r="J23" s="168">
        <v>189864750</v>
      </c>
      <c r="K23" t="s">
        <v>1768</v>
      </c>
      <c r="L23" t="s">
        <v>2139</v>
      </c>
    </row>
    <row r="24" spans="1:12">
      <c r="A24">
        <v>15867</v>
      </c>
      <c r="B24" s="168">
        <v>511550</v>
      </c>
      <c r="C24" s="170">
        <v>511550</v>
      </c>
      <c r="D24" s="168">
        <v>0</v>
      </c>
      <c r="E24" s="168">
        <v>94651550</v>
      </c>
      <c r="F24" s="168">
        <v>0</v>
      </c>
      <c r="G24" s="168">
        <v>94651550</v>
      </c>
      <c r="H24" s="168">
        <v>94140000</v>
      </c>
      <c r="I24" s="168">
        <v>-511550</v>
      </c>
      <c r="J24" s="168">
        <v>94651550</v>
      </c>
      <c r="K24" t="s">
        <v>1762</v>
      </c>
      <c r="L24" t="s">
        <v>2142</v>
      </c>
    </row>
    <row r="25" spans="1:12">
      <c r="A25">
        <v>18098</v>
      </c>
      <c r="B25" s="168">
        <v>1790700</v>
      </c>
      <c r="C25" s="170">
        <v>1790700</v>
      </c>
      <c r="D25" s="168">
        <v>0</v>
      </c>
      <c r="E25" s="168">
        <v>179295700</v>
      </c>
      <c r="F25" s="168">
        <v>0</v>
      </c>
      <c r="G25" s="168">
        <v>179295700</v>
      </c>
      <c r="H25" s="168">
        <v>177505000</v>
      </c>
      <c r="I25" s="168">
        <v>-1790700</v>
      </c>
      <c r="J25" s="168">
        <v>179295700</v>
      </c>
      <c r="K25" t="s">
        <v>1763</v>
      </c>
      <c r="L25" t="s">
        <v>2133</v>
      </c>
    </row>
    <row r="26" spans="1:12">
      <c r="A26">
        <v>36442</v>
      </c>
      <c r="B26" s="168">
        <v>6763350</v>
      </c>
      <c r="C26" s="170">
        <v>6763350</v>
      </c>
      <c r="D26" s="168">
        <v>0</v>
      </c>
      <c r="E26" s="168">
        <v>672833350</v>
      </c>
      <c r="F26" s="168">
        <v>0</v>
      </c>
      <c r="G26" s="168">
        <v>672833350</v>
      </c>
      <c r="H26" s="168">
        <v>666070000</v>
      </c>
      <c r="I26" s="168">
        <v>-6763350</v>
      </c>
      <c r="J26" s="168">
        <v>672833350</v>
      </c>
      <c r="K26" t="s">
        <v>1767</v>
      </c>
      <c r="L26" t="s">
        <v>2143</v>
      </c>
    </row>
    <row r="27" spans="1:12">
      <c r="A27">
        <v>39861</v>
      </c>
      <c r="B27" s="168">
        <v>579650</v>
      </c>
      <c r="C27" s="170">
        <v>579650</v>
      </c>
      <c r="D27" s="168">
        <v>0</v>
      </c>
      <c r="E27" s="168">
        <v>54839650</v>
      </c>
      <c r="F27" s="168">
        <v>0</v>
      </c>
      <c r="G27" s="168">
        <v>54839650</v>
      </c>
      <c r="H27" s="168">
        <v>54260000</v>
      </c>
      <c r="I27" s="168">
        <v>-579650</v>
      </c>
      <c r="J27" s="168">
        <v>54839650</v>
      </c>
      <c r="K27" t="s">
        <v>1762</v>
      </c>
      <c r="L27" t="s">
        <v>2142</v>
      </c>
    </row>
    <row r="28" spans="1:12">
      <c r="A28">
        <v>21377</v>
      </c>
      <c r="B28" s="168">
        <v>6144350</v>
      </c>
      <c r="C28" s="170">
        <v>6144350</v>
      </c>
      <c r="D28" s="168">
        <v>0</v>
      </c>
      <c r="E28" s="168">
        <v>610224350</v>
      </c>
      <c r="F28" s="168">
        <v>0</v>
      </c>
      <c r="G28" s="168">
        <v>610224350</v>
      </c>
      <c r="H28" s="168">
        <v>604080000</v>
      </c>
      <c r="I28" s="168">
        <v>-6144350</v>
      </c>
      <c r="J28" s="168">
        <v>610224350</v>
      </c>
      <c r="K28" t="s">
        <v>1757</v>
      </c>
      <c r="L28" t="s">
        <v>2140</v>
      </c>
    </row>
    <row r="29" spans="1:12">
      <c r="A29">
        <v>14996</v>
      </c>
      <c r="B29" s="168">
        <v>8924350</v>
      </c>
      <c r="C29" s="170">
        <v>8914350</v>
      </c>
      <c r="D29" s="168">
        <v>10000</v>
      </c>
      <c r="E29" s="168">
        <v>892704350</v>
      </c>
      <c r="F29" s="168">
        <v>1010000</v>
      </c>
      <c r="G29" s="168">
        <v>891694350</v>
      </c>
      <c r="H29" s="168">
        <v>883780000</v>
      </c>
      <c r="I29" s="168">
        <v>-7904350</v>
      </c>
      <c r="J29" s="168">
        <v>891684350</v>
      </c>
      <c r="K29" t="s">
        <v>1757</v>
      </c>
      <c r="L29" t="s">
        <v>2140</v>
      </c>
    </row>
    <row r="30" spans="1:12">
      <c r="A30">
        <v>31267</v>
      </c>
      <c r="B30" s="168">
        <v>336800</v>
      </c>
      <c r="C30" s="170">
        <v>336800</v>
      </c>
      <c r="D30" s="168">
        <v>0</v>
      </c>
      <c r="E30" s="168">
        <v>1011806800</v>
      </c>
      <c r="F30" s="168">
        <v>0</v>
      </c>
      <c r="G30" s="168">
        <v>1011806800</v>
      </c>
      <c r="H30" s="168">
        <v>1011470000</v>
      </c>
      <c r="I30" s="168">
        <v>-336800</v>
      </c>
      <c r="J30" s="168">
        <v>1011806800</v>
      </c>
      <c r="K30" t="s">
        <v>1763</v>
      </c>
      <c r="L30" t="s">
        <v>2133</v>
      </c>
    </row>
    <row r="31" spans="1:12">
      <c r="A31">
        <v>19730</v>
      </c>
      <c r="B31" s="168">
        <v>15070350</v>
      </c>
      <c r="C31" s="170">
        <v>15070350</v>
      </c>
      <c r="D31" s="168">
        <v>0</v>
      </c>
      <c r="E31" s="168">
        <v>1519970350</v>
      </c>
      <c r="F31" s="168">
        <v>0</v>
      </c>
      <c r="G31" s="168">
        <v>1519970350</v>
      </c>
      <c r="H31" s="168">
        <v>1504900000</v>
      </c>
      <c r="I31" s="168">
        <v>-15070350</v>
      </c>
      <c r="J31" s="168">
        <v>1519970350</v>
      </c>
      <c r="K31" t="s">
        <v>1764</v>
      </c>
      <c r="L31" t="s">
        <v>2145</v>
      </c>
    </row>
    <row r="32" spans="1:12">
      <c r="A32">
        <v>21423</v>
      </c>
      <c r="B32" s="168">
        <v>6024950</v>
      </c>
      <c r="C32" s="170">
        <v>6024950</v>
      </c>
      <c r="D32" s="168">
        <v>0</v>
      </c>
      <c r="E32" s="168">
        <v>599034950</v>
      </c>
      <c r="F32" s="168">
        <v>0</v>
      </c>
      <c r="G32" s="168">
        <v>599034950</v>
      </c>
      <c r="H32" s="168">
        <v>593010000</v>
      </c>
      <c r="I32" s="168">
        <v>-6024950</v>
      </c>
      <c r="J32" s="168">
        <v>599034950</v>
      </c>
      <c r="K32" t="s">
        <v>1760</v>
      </c>
      <c r="L32" t="s">
        <v>2138</v>
      </c>
    </row>
    <row r="33" spans="1:12">
      <c r="A33">
        <v>25689</v>
      </c>
      <c r="B33" s="168">
        <v>230200</v>
      </c>
      <c r="C33" s="170">
        <v>230200</v>
      </c>
      <c r="D33" s="168">
        <v>0</v>
      </c>
      <c r="E33" s="168">
        <v>21750200</v>
      </c>
      <c r="F33" s="168">
        <v>0</v>
      </c>
      <c r="G33" s="168">
        <v>21750200</v>
      </c>
      <c r="H33" s="168">
        <v>21520000</v>
      </c>
      <c r="I33" s="168">
        <v>-230200</v>
      </c>
      <c r="J33" s="168">
        <v>21750200</v>
      </c>
      <c r="K33" t="s">
        <v>1762</v>
      </c>
      <c r="L33" t="s">
        <v>2142</v>
      </c>
    </row>
    <row r="34" spans="1:12">
      <c r="A34">
        <v>36446</v>
      </c>
      <c r="B34" s="168">
        <v>10443350</v>
      </c>
      <c r="C34" s="170">
        <v>10443350</v>
      </c>
      <c r="D34" s="168">
        <v>0</v>
      </c>
      <c r="E34" s="168">
        <v>1038933350</v>
      </c>
      <c r="F34" s="168">
        <v>0</v>
      </c>
      <c r="G34" s="168">
        <v>1038933350</v>
      </c>
      <c r="H34" s="168">
        <v>1028490000</v>
      </c>
      <c r="I34" s="168">
        <v>-10443350</v>
      </c>
      <c r="J34" s="168">
        <v>1038933350</v>
      </c>
      <c r="K34" t="s">
        <v>1767</v>
      </c>
      <c r="L34" t="s">
        <v>2143</v>
      </c>
    </row>
    <row r="35" spans="1:12">
      <c r="A35">
        <v>39485</v>
      </c>
      <c r="B35" s="168">
        <v>1879300</v>
      </c>
      <c r="C35" s="170">
        <v>1879300</v>
      </c>
      <c r="D35" s="168">
        <v>0</v>
      </c>
      <c r="E35" s="168">
        <v>266399200</v>
      </c>
      <c r="F35" s="168">
        <v>67377900</v>
      </c>
      <c r="G35" s="168">
        <v>199021300</v>
      </c>
      <c r="H35" s="168">
        <v>264519900</v>
      </c>
      <c r="I35" s="168">
        <v>65498600</v>
      </c>
      <c r="J35" s="168">
        <v>199021300</v>
      </c>
      <c r="K35" t="s">
        <v>1762</v>
      </c>
      <c r="L35" t="s">
        <v>2142</v>
      </c>
    </row>
    <row r="36" spans="1:12">
      <c r="A36">
        <v>39554</v>
      </c>
      <c r="B36" s="168">
        <v>248400</v>
      </c>
      <c r="C36" s="170">
        <v>248400</v>
      </c>
      <c r="D36" s="168">
        <v>0</v>
      </c>
      <c r="E36" s="168">
        <v>397851500</v>
      </c>
      <c r="F36" s="168">
        <v>32050300</v>
      </c>
      <c r="G36" s="168">
        <v>365801200</v>
      </c>
      <c r="H36" s="168">
        <v>397603100</v>
      </c>
      <c r="I36" s="168">
        <v>31801900</v>
      </c>
      <c r="J36" s="168">
        <v>365801200</v>
      </c>
      <c r="K36" t="s">
        <v>1762</v>
      </c>
      <c r="L36" t="s">
        <v>2142</v>
      </c>
    </row>
    <row r="37" spans="1:12">
      <c r="A37">
        <v>39749</v>
      </c>
      <c r="B37" s="168">
        <v>3706000</v>
      </c>
      <c r="C37" s="170">
        <v>3706000</v>
      </c>
      <c r="D37" s="168">
        <v>0</v>
      </c>
      <c r="E37" s="168">
        <v>384507000</v>
      </c>
      <c r="F37" s="168">
        <v>7101000</v>
      </c>
      <c r="G37" s="168">
        <v>377406000</v>
      </c>
      <c r="H37" s="168">
        <v>380801000</v>
      </c>
      <c r="I37" s="168">
        <v>3395000</v>
      </c>
      <c r="J37" s="168">
        <v>377406000</v>
      </c>
      <c r="K37" t="s">
        <v>1763</v>
      </c>
      <c r="L37" t="s">
        <v>2133</v>
      </c>
    </row>
    <row r="38" spans="1:12">
      <c r="A38">
        <v>15022</v>
      </c>
      <c r="B38" s="168">
        <v>1889550</v>
      </c>
      <c r="C38" s="170">
        <v>1889550</v>
      </c>
      <c r="D38" s="168">
        <v>0</v>
      </c>
      <c r="E38" s="168">
        <v>184249550</v>
      </c>
      <c r="F38" s="168">
        <v>0</v>
      </c>
      <c r="G38" s="168">
        <v>184249550</v>
      </c>
      <c r="H38" s="168">
        <v>182360000</v>
      </c>
      <c r="I38" s="168">
        <v>-1889550</v>
      </c>
      <c r="J38" s="168">
        <v>184249550</v>
      </c>
      <c r="K38" t="s">
        <v>1763</v>
      </c>
      <c r="L38" t="s">
        <v>2133</v>
      </c>
    </row>
    <row r="39" spans="1:12">
      <c r="A39">
        <v>15871</v>
      </c>
      <c r="B39" s="168">
        <v>13075950</v>
      </c>
      <c r="C39" s="170">
        <v>13075950</v>
      </c>
      <c r="D39" s="168">
        <v>0</v>
      </c>
      <c r="E39" s="168">
        <v>1283895950</v>
      </c>
      <c r="F39" s="168">
        <v>0</v>
      </c>
      <c r="G39" s="168">
        <v>1283895950</v>
      </c>
      <c r="H39" s="168">
        <v>1270820000</v>
      </c>
      <c r="I39" s="168">
        <v>-13075950</v>
      </c>
      <c r="J39" s="168">
        <v>1283895950</v>
      </c>
      <c r="K39" t="s">
        <v>2146</v>
      </c>
      <c r="L39" t="s">
        <v>2147</v>
      </c>
    </row>
    <row r="40" spans="1:12">
      <c r="A40">
        <v>18375</v>
      </c>
      <c r="B40" s="168">
        <v>6560750</v>
      </c>
      <c r="C40" s="170">
        <v>6560750</v>
      </c>
      <c r="D40" s="168">
        <v>0</v>
      </c>
      <c r="E40" s="168">
        <v>651010750</v>
      </c>
      <c r="F40" s="168">
        <v>0</v>
      </c>
      <c r="G40" s="168">
        <v>651010750</v>
      </c>
      <c r="H40" s="168">
        <v>644450000</v>
      </c>
      <c r="I40" s="168">
        <v>-6560750</v>
      </c>
      <c r="J40" s="168">
        <v>651010750</v>
      </c>
      <c r="K40" t="s">
        <v>1768</v>
      </c>
      <c r="L40" t="s">
        <v>2139</v>
      </c>
    </row>
    <row r="41" spans="1:12">
      <c r="A41">
        <v>21424</v>
      </c>
      <c r="B41" s="168">
        <v>10449950</v>
      </c>
      <c r="C41" s="170">
        <v>10449950</v>
      </c>
      <c r="D41" s="168">
        <v>0</v>
      </c>
      <c r="E41" s="168">
        <v>1053499950</v>
      </c>
      <c r="F41" s="168">
        <v>0</v>
      </c>
      <c r="G41" s="168">
        <v>1053499950</v>
      </c>
      <c r="H41" s="168">
        <v>1043050000</v>
      </c>
      <c r="I41" s="168">
        <v>-10449950</v>
      </c>
      <c r="J41" s="168">
        <v>1053499950</v>
      </c>
      <c r="K41" t="s">
        <v>1760</v>
      </c>
      <c r="L41" t="s">
        <v>2138</v>
      </c>
    </row>
    <row r="42" spans="1:12">
      <c r="A42">
        <v>25779</v>
      </c>
      <c r="B42" s="168">
        <v>23300</v>
      </c>
      <c r="C42" s="170">
        <v>23300</v>
      </c>
      <c r="D42" s="168">
        <v>0</v>
      </c>
      <c r="E42" s="168">
        <v>59243300</v>
      </c>
      <c r="F42" s="168">
        <v>0</v>
      </c>
      <c r="G42" s="168">
        <v>59243300</v>
      </c>
      <c r="H42" s="168">
        <v>59220000</v>
      </c>
      <c r="I42" s="168">
        <v>-23300</v>
      </c>
      <c r="J42" s="168">
        <v>59243300</v>
      </c>
      <c r="K42" t="s">
        <v>1762</v>
      </c>
      <c r="L42" t="s">
        <v>2142</v>
      </c>
    </row>
    <row r="43" spans="1:12">
      <c r="A43">
        <v>31956</v>
      </c>
      <c r="B43" s="168">
        <v>12392375</v>
      </c>
      <c r="C43" s="170">
        <v>12392375</v>
      </c>
      <c r="D43" s="168">
        <v>0</v>
      </c>
      <c r="E43" s="168">
        <v>1238267375</v>
      </c>
      <c r="F43" s="168">
        <v>0</v>
      </c>
      <c r="G43" s="168">
        <v>1238267375</v>
      </c>
      <c r="H43" s="168">
        <v>1225875000</v>
      </c>
      <c r="I43" s="168">
        <v>-12392375</v>
      </c>
      <c r="J43" s="168">
        <v>1238267375</v>
      </c>
      <c r="K43" t="s">
        <v>1770</v>
      </c>
      <c r="L43" t="s">
        <v>2148</v>
      </c>
    </row>
    <row r="44" spans="1:12">
      <c r="A44">
        <v>35481</v>
      </c>
      <c r="B44" s="168">
        <v>2409500</v>
      </c>
      <c r="C44" s="170">
        <v>2397500</v>
      </c>
      <c r="D44" s="168">
        <v>12000</v>
      </c>
      <c r="E44" s="168">
        <v>226129500</v>
      </c>
      <c r="F44" s="168">
        <v>1212000</v>
      </c>
      <c r="G44" s="168">
        <v>224917500</v>
      </c>
      <c r="H44" s="168">
        <v>223720000</v>
      </c>
      <c r="I44" s="168">
        <v>-1185500</v>
      </c>
      <c r="J44" s="168">
        <v>224905500</v>
      </c>
      <c r="K44" t="s">
        <v>1762</v>
      </c>
      <c r="L44" t="s">
        <v>2142</v>
      </c>
    </row>
    <row r="45" spans="1:12">
      <c r="A45">
        <v>39874</v>
      </c>
      <c r="B45" s="168">
        <v>1215600</v>
      </c>
      <c r="C45" s="170">
        <v>1215600</v>
      </c>
      <c r="D45" s="168">
        <v>0</v>
      </c>
      <c r="E45" s="168">
        <v>119955600</v>
      </c>
      <c r="F45" s="168">
        <v>0</v>
      </c>
      <c r="G45" s="168">
        <v>119955600</v>
      </c>
      <c r="H45" s="168">
        <v>118740000</v>
      </c>
      <c r="I45" s="168">
        <v>-1215600</v>
      </c>
      <c r="J45" s="168">
        <v>119955600</v>
      </c>
      <c r="K45" t="s">
        <v>1762</v>
      </c>
      <c r="L45" t="s">
        <v>2142</v>
      </c>
    </row>
    <row r="46" spans="1:12">
      <c r="A46">
        <v>22553</v>
      </c>
      <c r="B46" s="168">
        <v>5143900</v>
      </c>
      <c r="C46" s="170">
        <v>5143900</v>
      </c>
      <c r="D46" s="168">
        <v>0</v>
      </c>
      <c r="E46" s="168">
        <v>514953900</v>
      </c>
      <c r="F46" s="168">
        <v>0</v>
      </c>
      <c r="G46" s="168">
        <v>514953900</v>
      </c>
      <c r="H46" s="168">
        <v>509810000</v>
      </c>
      <c r="I46" s="168">
        <v>-5143900</v>
      </c>
      <c r="J46" s="168">
        <v>514953900</v>
      </c>
      <c r="K46" t="s">
        <v>1764</v>
      </c>
      <c r="L46" t="s">
        <v>2145</v>
      </c>
    </row>
    <row r="47" spans="1:12">
      <c r="A47">
        <v>25741</v>
      </c>
      <c r="B47" s="168">
        <v>12993150</v>
      </c>
      <c r="C47" s="170">
        <v>12993150</v>
      </c>
      <c r="D47" s="168">
        <v>0</v>
      </c>
      <c r="E47" s="168">
        <v>1299633150</v>
      </c>
      <c r="F47" s="168">
        <v>0</v>
      </c>
      <c r="G47" s="168">
        <v>1299633150</v>
      </c>
      <c r="H47" s="168">
        <v>1286640000</v>
      </c>
      <c r="I47" s="168">
        <v>-12993150</v>
      </c>
      <c r="J47" s="168">
        <v>1299633150</v>
      </c>
      <c r="K47" t="s">
        <v>1759</v>
      </c>
      <c r="L47" t="s">
        <v>2149</v>
      </c>
    </row>
    <row r="48" spans="1:12">
      <c r="A48">
        <v>40040</v>
      </c>
      <c r="B48" s="168">
        <v>5921150</v>
      </c>
      <c r="C48" s="170">
        <v>5921150</v>
      </c>
      <c r="D48" s="168">
        <v>0</v>
      </c>
      <c r="E48" s="168">
        <v>619385850</v>
      </c>
      <c r="F48" s="168">
        <v>25160500</v>
      </c>
      <c r="G48" s="168">
        <v>594225350</v>
      </c>
      <c r="H48" s="168">
        <v>613464700</v>
      </c>
      <c r="I48" s="168">
        <v>19239350</v>
      </c>
      <c r="J48" s="168">
        <v>594225350</v>
      </c>
      <c r="K48" t="s">
        <v>1767</v>
      </c>
      <c r="L48" t="s">
        <v>2143</v>
      </c>
    </row>
    <row r="49" spans="1:12">
      <c r="A49">
        <v>15039</v>
      </c>
      <c r="B49" s="168">
        <v>6179000</v>
      </c>
      <c r="C49" s="170">
        <v>6149000</v>
      </c>
      <c r="D49" s="168">
        <v>30000</v>
      </c>
      <c r="E49" s="168">
        <v>611029000</v>
      </c>
      <c r="F49" s="168">
        <v>3030000</v>
      </c>
      <c r="G49" s="168">
        <v>607999000</v>
      </c>
      <c r="H49" s="168">
        <v>604850000</v>
      </c>
      <c r="I49" s="168">
        <v>-3119000</v>
      </c>
      <c r="J49" s="168">
        <v>607969000</v>
      </c>
      <c r="K49" t="s">
        <v>1768</v>
      </c>
      <c r="L49" t="s">
        <v>2139</v>
      </c>
    </row>
    <row r="50" spans="1:12">
      <c r="A50">
        <v>39612</v>
      </c>
      <c r="B50" s="168">
        <v>804700</v>
      </c>
      <c r="C50" s="170">
        <v>804700</v>
      </c>
      <c r="D50" s="168">
        <v>0</v>
      </c>
      <c r="E50" s="168">
        <v>101458100</v>
      </c>
      <c r="F50" s="168">
        <v>1800</v>
      </c>
      <c r="G50" s="168">
        <v>101456300</v>
      </c>
      <c r="H50" s="168">
        <v>100653400</v>
      </c>
      <c r="I50" s="168">
        <v>-802900</v>
      </c>
      <c r="J50" s="168">
        <v>101456300</v>
      </c>
      <c r="K50" t="s">
        <v>1762</v>
      </c>
      <c r="L50" t="s">
        <v>2142</v>
      </c>
    </row>
    <row r="51" spans="1:12">
      <c r="A51">
        <v>15889</v>
      </c>
      <c r="B51" s="168">
        <v>2391950</v>
      </c>
      <c r="C51" s="170">
        <v>2391950</v>
      </c>
      <c r="D51" s="168">
        <v>0</v>
      </c>
      <c r="E51" s="168">
        <v>237461950</v>
      </c>
      <c r="F51" s="168">
        <v>0</v>
      </c>
      <c r="G51" s="168">
        <v>237461950</v>
      </c>
      <c r="H51" s="168">
        <v>235070000</v>
      </c>
      <c r="I51" s="168">
        <v>-2391950</v>
      </c>
      <c r="J51" s="168">
        <v>237461950</v>
      </c>
      <c r="K51" t="s">
        <v>1764</v>
      </c>
      <c r="L51" t="s">
        <v>2145</v>
      </c>
    </row>
    <row r="52" spans="1:12">
      <c r="A52">
        <v>18078</v>
      </c>
      <c r="B52" s="168">
        <v>6834850</v>
      </c>
      <c r="C52" s="170">
        <v>6834850</v>
      </c>
      <c r="D52" s="168">
        <v>0</v>
      </c>
      <c r="E52" s="168">
        <v>669634850</v>
      </c>
      <c r="F52" s="168">
        <v>0</v>
      </c>
      <c r="G52" s="168">
        <v>669634850</v>
      </c>
      <c r="H52" s="168">
        <v>662800000</v>
      </c>
      <c r="I52" s="168">
        <v>-6834850</v>
      </c>
      <c r="J52" s="168">
        <v>669634850</v>
      </c>
      <c r="K52" t="s">
        <v>1765</v>
      </c>
      <c r="L52" t="s">
        <v>2137</v>
      </c>
    </row>
    <row r="53" spans="1:12">
      <c r="A53">
        <v>21268</v>
      </c>
      <c r="B53" s="168">
        <v>24391300</v>
      </c>
      <c r="C53" s="170">
        <v>24391300</v>
      </c>
      <c r="D53" s="168">
        <v>0</v>
      </c>
      <c r="E53" s="168">
        <v>2442476300</v>
      </c>
      <c r="F53" s="168">
        <v>0</v>
      </c>
      <c r="G53" s="168">
        <v>2442476300</v>
      </c>
      <c r="H53" s="168">
        <v>2418085000</v>
      </c>
      <c r="I53" s="168">
        <v>-24391300</v>
      </c>
      <c r="J53" s="168">
        <v>2442476300</v>
      </c>
      <c r="K53" t="s">
        <v>1767</v>
      </c>
      <c r="L53" t="s">
        <v>2143</v>
      </c>
    </row>
    <row r="54" spans="1:12">
      <c r="A54">
        <v>25873</v>
      </c>
      <c r="B54" s="168">
        <v>7859750</v>
      </c>
      <c r="C54" s="170">
        <v>7859750</v>
      </c>
      <c r="D54" s="168">
        <v>0</v>
      </c>
      <c r="E54" s="168">
        <v>785259750</v>
      </c>
      <c r="F54" s="168">
        <v>0</v>
      </c>
      <c r="G54" s="168">
        <v>785259750</v>
      </c>
      <c r="H54" s="168">
        <v>777400000</v>
      </c>
      <c r="I54" s="168">
        <v>-7859750</v>
      </c>
      <c r="J54" s="168">
        <v>785259750</v>
      </c>
      <c r="K54" t="s">
        <v>1756</v>
      </c>
      <c r="L54" t="s">
        <v>2134</v>
      </c>
    </row>
    <row r="55" spans="1:12">
      <c r="A55">
        <v>21378</v>
      </c>
      <c r="B55" s="168">
        <v>10909400</v>
      </c>
      <c r="C55" s="170">
        <v>10909400</v>
      </c>
      <c r="D55" s="168">
        <v>0</v>
      </c>
      <c r="E55" s="168">
        <v>1076239400</v>
      </c>
      <c r="F55" s="168">
        <v>0</v>
      </c>
      <c r="G55" s="168">
        <v>1076239400</v>
      </c>
      <c r="H55" s="168">
        <v>1065330000</v>
      </c>
      <c r="I55" s="168">
        <v>-10909400</v>
      </c>
      <c r="J55" s="168">
        <v>1076239400</v>
      </c>
      <c r="K55" t="s">
        <v>1755</v>
      </c>
      <c r="L55" t="s">
        <v>2141</v>
      </c>
    </row>
    <row r="56" spans="1:12">
      <c r="A56">
        <v>21267</v>
      </c>
      <c r="B56" s="168">
        <v>17938000</v>
      </c>
      <c r="C56" s="170">
        <v>17938000</v>
      </c>
      <c r="D56" s="168">
        <v>0</v>
      </c>
      <c r="E56" s="168">
        <v>1789448000</v>
      </c>
      <c r="F56" s="168">
        <v>0</v>
      </c>
      <c r="G56" s="168">
        <v>1789448000</v>
      </c>
      <c r="H56" s="168">
        <v>1771510000</v>
      </c>
      <c r="I56" s="168">
        <v>-17938000</v>
      </c>
      <c r="J56" s="168">
        <v>1789448000</v>
      </c>
      <c r="K56" t="s">
        <v>1768</v>
      </c>
      <c r="L56" t="s">
        <v>2139</v>
      </c>
    </row>
    <row r="57" spans="1:12">
      <c r="A57">
        <v>21627</v>
      </c>
      <c r="B57" s="168">
        <v>10589050</v>
      </c>
      <c r="C57" s="170">
        <v>10589050</v>
      </c>
      <c r="D57" s="168">
        <v>0</v>
      </c>
      <c r="E57" s="168">
        <v>1057879050</v>
      </c>
      <c r="F57" s="168">
        <v>0</v>
      </c>
      <c r="G57" s="168">
        <v>1057879050</v>
      </c>
      <c r="H57" s="168">
        <v>1047290000</v>
      </c>
      <c r="I57" s="168">
        <v>-10589050</v>
      </c>
      <c r="J57" s="168">
        <v>1057879050</v>
      </c>
      <c r="K57" t="s">
        <v>1759</v>
      </c>
      <c r="L57" t="s">
        <v>2149</v>
      </c>
    </row>
    <row r="58" spans="1:12">
      <c r="A58">
        <v>30801</v>
      </c>
      <c r="B58" s="168">
        <v>13579450</v>
      </c>
      <c r="C58" s="170">
        <v>13579450</v>
      </c>
      <c r="D58" s="168">
        <v>0</v>
      </c>
      <c r="E58" s="168">
        <v>1350259450</v>
      </c>
      <c r="F58" s="168">
        <v>0</v>
      </c>
      <c r="G58" s="168">
        <v>1350259450</v>
      </c>
      <c r="H58" s="168">
        <v>1336680000</v>
      </c>
      <c r="I58" s="168">
        <v>-13579450</v>
      </c>
      <c r="J58" s="168">
        <v>1350259450</v>
      </c>
      <c r="K58" t="s">
        <v>1769</v>
      </c>
      <c r="L58" t="s">
        <v>2150</v>
      </c>
    </row>
    <row r="59" spans="1:12">
      <c r="A59">
        <v>39610</v>
      </c>
      <c r="B59" s="168">
        <v>81200</v>
      </c>
      <c r="C59" s="170">
        <v>81200</v>
      </c>
      <c r="D59" s="168">
        <v>0</v>
      </c>
      <c r="E59" s="168">
        <v>25251200</v>
      </c>
      <c r="F59" s="168">
        <v>17700000</v>
      </c>
      <c r="G59" s="168">
        <v>7551200</v>
      </c>
      <c r="H59" s="168">
        <v>25170000</v>
      </c>
      <c r="I59" s="168">
        <v>17618800</v>
      </c>
      <c r="J59" s="168">
        <v>7551200</v>
      </c>
      <c r="K59" t="s">
        <v>1762</v>
      </c>
      <c r="L59" t="s">
        <v>2142</v>
      </c>
    </row>
    <row r="60" spans="1:12">
      <c r="A60">
        <v>21336</v>
      </c>
      <c r="B60" s="168">
        <v>5181750</v>
      </c>
      <c r="C60" s="170">
        <v>5181750</v>
      </c>
      <c r="D60" s="168">
        <v>0</v>
      </c>
      <c r="E60" s="168">
        <v>500671750</v>
      </c>
      <c r="F60" s="168">
        <v>0</v>
      </c>
      <c r="G60" s="168">
        <v>500671750</v>
      </c>
      <c r="H60" s="168">
        <v>495490000</v>
      </c>
      <c r="I60" s="168">
        <v>-5181750</v>
      </c>
      <c r="J60" s="168">
        <v>500671750</v>
      </c>
      <c r="K60" t="s">
        <v>2151</v>
      </c>
      <c r="L60" t="s">
        <v>2152</v>
      </c>
    </row>
    <row r="61" spans="1:12">
      <c r="A61">
        <v>21403</v>
      </c>
      <c r="B61" s="168">
        <v>7855950</v>
      </c>
      <c r="C61" s="170">
        <v>7855950</v>
      </c>
      <c r="D61" s="168">
        <v>0</v>
      </c>
      <c r="E61" s="168">
        <v>787145950</v>
      </c>
      <c r="F61" s="168">
        <v>0</v>
      </c>
      <c r="G61" s="168">
        <v>787145950</v>
      </c>
      <c r="H61" s="168">
        <v>779290000</v>
      </c>
      <c r="I61" s="168">
        <v>-7855950</v>
      </c>
      <c r="J61" s="168">
        <v>787145950</v>
      </c>
      <c r="K61" t="s">
        <v>1759</v>
      </c>
      <c r="L61" t="s">
        <v>2149</v>
      </c>
    </row>
    <row r="62" spans="1:12">
      <c r="A62">
        <v>26838</v>
      </c>
      <c r="B62" s="168">
        <v>211400</v>
      </c>
      <c r="C62" s="170">
        <v>211400</v>
      </c>
      <c r="D62" s="168">
        <v>0</v>
      </c>
      <c r="E62" s="168">
        <v>21351400</v>
      </c>
      <c r="F62" s="168">
        <v>0</v>
      </c>
      <c r="G62" s="168">
        <v>21351400</v>
      </c>
      <c r="H62" s="168">
        <v>21140000</v>
      </c>
      <c r="I62" s="168">
        <v>-211400</v>
      </c>
      <c r="J62" s="168">
        <v>21351400</v>
      </c>
      <c r="K62" t="s">
        <v>1768</v>
      </c>
      <c r="L62" t="s">
        <v>2139</v>
      </c>
    </row>
    <row r="63" spans="1:12">
      <c r="A63">
        <v>39951</v>
      </c>
      <c r="B63" s="168">
        <v>174600</v>
      </c>
      <c r="C63" s="170">
        <v>174600</v>
      </c>
      <c r="D63" s="168">
        <v>0</v>
      </c>
      <c r="E63" s="168">
        <v>21375100</v>
      </c>
      <c r="F63" s="168">
        <v>500</v>
      </c>
      <c r="G63" s="168">
        <v>21374600</v>
      </c>
      <c r="H63" s="168">
        <v>21200500</v>
      </c>
      <c r="I63" s="168">
        <v>-174100</v>
      </c>
      <c r="J63" s="168">
        <v>21374600</v>
      </c>
      <c r="K63" t="s">
        <v>1758</v>
      </c>
      <c r="L63" t="s">
        <v>2153</v>
      </c>
    </row>
    <row r="64" spans="1:12">
      <c r="A64">
        <v>21375</v>
      </c>
      <c r="B64" s="168">
        <v>6422500</v>
      </c>
      <c r="C64" s="170">
        <v>6422500</v>
      </c>
      <c r="D64" s="168">
        <v>0</v>
      </c>
      <c r="E64" s="168">
        <v>647492500</v>
      </c>
      <c r="F64" s="168">
        <v>0</v>
      </c>
      <c r="G64" s="168">
        <v>647492500</v>
      </c>
      <c r="H64" s="168">
        <v>641070000</v>
      </c>
      <c r="I64" s="168">
        <v>-6422500</v>
      </c>
      <c r="J64" s="168">
        <v>647492500</v>
      </c>
      <c r="K64" t="s">
        <v>1757</v>
      </c>
      <c r="L64" t="s">
        <v>2140</v>
      </c>
    </row>
    <row r="65" spans="1:12">
      <c r="A65">
        <v>37852</v>
      </c>
      <c r="B65" s="168">
        <v>13103050</v>
      </c>
      <c r="C65" s="170">
        <v>13101050</v>
      </c>
      <c r="D65" s="168">
        <v>2000</v>
      </c>
      <c r="E65" s="168">
        <v>1313973050</v>
      </c>
      <c r="F65" s="168">
        <v>202000</v>
      </c>
      <c r="G65" s="168">
        <v>1313771050</v>
      </c>
      <c r="H65" s="168">
        <v>1300870000</v>
      </c>
      <c r="I65" s="168">
        <v>-12899050</v>
      </c>
      <c r="J65" s="168">
        <v>1313769050</v>
      </c>
      <c r="K65" t="s">
        <v>1763</v>
      </c>
      <c r="L65" t="s">
        <v>2133</v>
      </c>
    </row>
    <row r="66" spans="1:12">
      <c r="A66">
        <v>40022</v>
      </c>
      <c r="B66" s="168">
        <v>3290000</v>
      </c>
      <c r="C66" s="170">
        <v>3290000</v>
      </c>
      <c r="D66" s="168">
        <v>0</v>
      </c>
      <c r="E66" s="168">
        <v>328630000</v>
      </c>
      <c r="F66" s="168">
        <v>0</v>
      </c>
      <c r="G66" s="168">
        <v>328630000</v>
      </c>
      <c r="H66" s="168">
        <v>325340000</v>
      </c>
      <c r="I66" s="168">
        <v>-3290000</v>
      </c>
      <c r="J66" s="168">
        <v>328630000</v>
      </c>
      <c r="K66" t="s">
        <v>1765</v>
      </c>
      <c r="L66" t="s">
        <v>2137</v>
      </c>
    </row>
    <row r="67" spans="1:12">
      <c r="A67">
        <v>40033</v>
      </c>
      <c r="B67" s="168">
        <v>17479750</v>
      </c>
      <c r="C67" s="170">
        <v>17479750</v>
      </c>
      <c r="D67" s="168">
        <v>0</v>
      </c>
      <c r="E67" s="168">
        <v>1818759050</v>
      </c>
      <c r="F67" s="168">
        <v>55518900</v>
      </c>
      <c r="G67" s="168">
        <v>1763240150</v>
      </c>
      <c r="H67" s="168">
        <v>1801279300</v>
      </c>
      <c r="I67" s="168">
        <v>38039150</v>
      </c>
      <c r="J67" s="168">
        <v>1763240150</v>
      </c>
      <c r="K67" t="s">
        <v>1761</v>
      </c>
      <c r="L67" t="s">
        <v>2132</v>
      </c>
    </row>
    <row r="68" spans="1:12">
      <c r="A68">
        <v>21266</v>
      </c>
      <c r="B68" s="168">
        <v>16272450</v>
      </c>
      <c r="C68" s="170">
        <v>16272450</v>
      </c>
      <c r="D68" s="168">
        <v>0</v>
      </c>
      <c r="E68" s="168">
        <v>1636492450</v>
      </c>
      <c r="F68" s="168">
        <v>0</v>
      </c>
      <c r="G68" s="168">
        <v>1636492450</v>
      </c>
      <c r="H68" s="168">
        <v>1620220000</v>
      </c>
      <c r="I68" s="168">
        <v>-16272450</v>
      </c>
      <c r="J68" s="168">
        <v>1636492450</v>
      </c>
      <c r="K68" t="s">
        <v>1767</v>
      </c>
      <c r="L68" t="s">
        <v>2143</v>
      </c>
    </row>
    <row r="69" spans="1:12">
      <c r="A69">
        <v>21273</v>
      </c>
      <c r="B69" s="168">
        <v>19580300</v>
      </c>
      <c r="C69" s="170">
        <v>19572300</v>
      </c>
      <c r="D69" s="168">
        <v>8000</v>
      </c>
      <c r="E69" s="168">
        <v>1958080300</v>
      </c>
      <c r="F69" s="168">
        <v>808000</v>
      </c>
      <c r="G69" s="168">
        <v>1957272300</v>
      </c>
      <c r="H69" s="168">
        <v>1938500000</v>
      </c>
      <c r="I69" s="168">
        <v>-18764300</v>
      </c>
      <c r="J69" s="168">
        <v>1957264300</v>
      </c>
      <c r="K69" t="s">
        <v>1758</v>
      </c>
      <c r="L69" t="s">
        <v>2153</v>
      </c>
    </row>
    <row r="70" spans="1:12">
      <c r="A70">
        <v>39945</v>
      </c>
      <c r="B70" s="168">
        <v>3937550</v>
      </c>
      <c r="C70" s="170">
        <v>3937550</v>
      </c>
      <c r="D70" s="168">
        <v>0</v>
      </c>
      <c r="E70" s="168">
        <v>477234150</v>
      </c>
      <c r="F70" s="168">
        <v>47104100</v>
      </c>
      <c r="G70" s="168">
        <v>430130050</v>
      </c>
      <c r="H70" s="168">
        <v>473296600</v>
      </c>
      <c r="I70" s="168">
        <v>43166550</v>
      </c>
      <c r="J70" s="168">
        <v>430130050</v>
      </c>
      <c r="K70" t="s">
        <v>1755</v>
      </c>
      <c r="L70" t="s">
        <v>2141</v>
      </c>
    </row>
    <row r="71" spans="1:12">
      <c r="A71">
        <v>27732</v>
      </c>
      <c r="B71" s="168">
        <v>1111500</v>
      </c>
      <c r="C71" s="170">
        <v>1111500</v>
      </c>
      <c r="D71" s="168">
        <v>0</v>
      </c>
      <c r="E71" s="168">
        <v>101771500</v>
      </c>
      <c r="F71" s="168">
        <v>0</v>
      </c>
      <c r="G71" s="168">
        <v>101771500</v>
      </c>
      <c r="H71" s="168">
        <v>100660000</v>
      </c>
      <c r="I71" s="168">
        <v>-1111500</v>
      </c>
      <c r="J71" s="168">
        <v>101771500</v>
      </c>
      <c r="K71" t="s">
        <v>1757</v>
      </c>
      <c r="L71" t="s">
        <v>2140</v>
      </c>
    </row>
    <row r="72" spans="1:12">
      <c r="A72">
        <v>39743</v>
      </c>
      <c r="B72" s="168">
        <v>14633500</v>
      </c>
      <c r="C72" s="170">
        <v>14633500</v>
      </c>
      <c r="D72" s="168">
        <v>0</v>
      </c>
      <c r="E72" s="168">
        <v>1496499300</v>
      </c>
      <c r="F72" s="168">
        <v>29875700</v>
      </c>
      <c r="G72" s="168">
        <v>1466623600</v>
      </c>
      <c r="H72" s="168">
        <v>1481865800</v>
      </c>
      <c r="I72" s="168">
        <v>15242200</v>
      </c>
      <c r="J72" s="168">
        <v>1466623600</v>
      </c>
      <c r="K72" t="s">
        <v>1763</v>
      </c>
      <c r="L72" t="s">
        <v>2133</v>
      </c>
    </row>
    <row r="73" spans="1:12">
      <c r="A73">
        <v>15974</v>
      </c>
      <c r="B73" s="168">
        <v>8348000</v>
      </c>
      <c r="C73" s="170">
        <v>8348000</v>
      </c>
      <c r="D73" s="168">
        <v>0</v>
      </c>
      <c r="E73" s="168">
        <v>830148000</v>
      </c>
      <c r="F73" s="168">
        <v>0</v>
      </c>
      <c r="G73" s="168">
        <v>830148000</v>
      </c>
      <c r="H73" s="168">
        <v>821800000</v>
      </c>
      <c r="I73" s="168">
        <v>-8348000</v>
      </c>
      <c r="J73" s="168">
        <v>830148000</v>
      </c>
      <c r="K73" t="s">
        <v>1766</v>
      </c>
      <c r="L73" t="s">
        <v>2144</v>
      </c>
    </row>
    <row r="74" spans="1:12">
      <c r="A74">
        <v>22691</v>
      </c>
      <c r="B74" s="168">
        <v>4933200</v>
      </c>
      <c r="C74" s="170">
        <v>4932300</v>
      </c>
      <c r="D74" s="168">
        <v>900</v>
      </c>
      <c r="E74" s="168">
        <v>494623200</v>
      </c>
      <c r="F74" s="168">
        <v>90900</v>
      </c>
      <c r="G74" s="168">
        <v>494532300</v>
      </c>
      <c r="H74" s="168">
        <v>489690000</v>
      </c>
      <c r="I74" s="168">
        <v>-4841400</v>
      </c>
      <c r="J74" s="168">
        <v>494531400</v>
      </c>
      <c r="K74" t="s">
        <v>1755</v>
      </c>
      <c r="L74" t="s">
        <v>2141</v>
      </c>
    </row>
    <row r="75" spans="1:12">
      <c r="A75">
        <v>25712</v>
      </c>
      <c r="B75" s="168">
        <v>2409375</v>
      </c>
      <c r="C75" s="170">
        <v>2409375</v>
      </c>
      <c r="D75" s="168">
        <v>0</v>
      </c>
      <c r="E75" s="168">
        <v>239799375</v>
      </c>
      <c r="F75" s="168">
        <v>0</v>
      </c>
      <c r="G75" s="168">
        <v>239799375</v>
      </c>
      <c r="H75" s="168">
        <v>237390000</v>
      </c>
      <c r="I75" s="168">
        <v>-2409375</v>
      </c>
      <c r="J75" s="168">
        <v>239799375</v>
      </c>
      <c r="K75" t="s">
        <v>1761</v>
      </c>
      <c r="L75" t="s">
        <v>2132</v>
      </c>
    </row>
    <row r="76" spans="1:12">
      <c r="A76">
        <v>25806</v>
      </c>
      <c r="B76" s="168">
        <v>12521600</v>
      </c>
      <c r="C76" s="170">
        <v>12517100</v>
      </c>
      <c r="D76" s="168">
        <v>4500</v>
      </c>
      <c r="E76" s="168">
        <v>1251541600</v>
      </c>
      <c r="F76" s="168">
        <v>454500</v>
      </c>
      <c r="G76" s="168">
        <v>1251087100</v>
      </c>
      <c r="H76" s="168">
        <v>1239020000</v>
      </c>
      <c r="I76" s="168">
        <v>-12062600</v>
      </c>
      <c r="J76" s="168">
        <v>1251082600</v>
      </c>
      <c r="K76" t="s">
        <v>1766</v>
      </c>
      <c r="L76" t="s">
        <v>2144</v>
      </c>
    </row>
    <row r="77" spans="1:12">
      <c r="A77">
        <v>33725</v>
      </c>
      <c r="B77" s="168">
        <v>236450</v>
      </c>
      <c r="C77" s="170">
        <v>236450</v>
      </c>
      <c r="D77" s="168">
        <v>0</v>
      </c>
      <c r="E77" s="168">
        <v>255026450</v>
      </c>
      <c r="F77" s="168">
        <v>0</v>
      </c>
      <c r="G77" s="168">
        <v>255026450</v>
      </c>
      <c r="H77" s="168">
        <v>254790000</v>
      </c>
      <c r="I77" s="168">
        <v>-236450</v>
      </c>
      <c r="J77" s="168">
        <v>255026450</v>
      </c>
      <c r="K77" t="s">
        <v>1762</v>
      </c>
      <c r="L77" t="s">
        <v>2142</v>
      </c>
    </row>
    <row r="78" spans="1:12">
      <c r="A78">
        <v>39520</v>
      </c>
      <c r="B78" s="168">
        <v>36000</v>
      </c>
      <c r="C78" s="170">
        <v>36000</v>
      </c>
      <c r="D78" s="168">
        <v>0</v>
      </c>
      <c r="E78" s="168">
        <v>3236000</v>
      </c>
      <c r="F78" s="168">
        <v>297000</v>
      </c>
      <c r="G78" s="168">
        <v>2939000</v>
      </c>
      <c r="H78" s="168">
        <v>3200000</v>
      </c>
      <c r="I78" s="168">
        <v>261000</v>
      </c>
      <c r="J78" s="168">
        <v>2939000</v>
      </c>
      <c r="K78" t="s">
        <v>1762</v>
      </c>
      <c r="L78" t="s">
        <v>2142</v>
      </c>
    </row>
    <row r="79" spans="1:12">
      <c r="A79">
        <v>39556</v>
      </c>
      <c r="B79" s="168">
        <v>7762900</v>
      </c>
      <c r="C79" s="170">
        <v>7762900</v>
      </c>
      <c r="D79" s="168">
        <v>0</v>
      </c>
      <c r="E79" s="168">
        <v>887512900</v>
      </c>
      <c r="F79" s="168">
        <v>134400000</v>
      </c>
      <c r="G79" s="168">
        <v>753112900</v>
      </c>
      <c r="H79" s="168">
        <v>879750000</v>
      </c>
      <c r="I79" s="168">
        <v>126637100</v>
      </c>
      <c r="J79" s="168">
        <v>753112900</v>
      </c>
      <c r="K79" t="s">
        <v>1762</v>
      </c>
      <c r="L79" t="s">
        <v>2142</v>
      </c>
    </row>
    <row r="80" spans="1:12">
      <c r="A80">
        <v>39977</v>
      </c>
      <c r="B80" s="168">
        <v>1832500</v>
      </c>
      <c r="C80" s="170">
        <v>1832500</v>
      </c>
      <c r="D80" s="168">
        <v>0</v>
      </c>
      <c r="E80" s="168">
        <v>201741000</v>
      </c>
      <c r="F80" s="168">
        <v>17158500</v>
      </c>
      <c r="G80" s="168">
        <v>184582500</v>
      </c>
      <c r="H80" s="168">
        <v>199908500</v>
      </c>
      <c r="I80" s="168">
        <v>15326000</v>
      </c>
      <c r="J80" s="168">
        <v>184582500</v>
      </c>
      <c r="K80" t="s">
        <v>1757</v>
      </c>
      <c r="L80" t="s">
        <v>2140</v>
      </c>
    </row>
    <row r="81" spans="1:12">
      <c r="A81">
        <v>21288</v>
      </c>
      <c r="B81" s="168">
        <v>4075850</v>
      </c>
      <c r="C81" s="170">
        <v>4075850</v>
      </c>
      <c r="D81" s="168">
        <v>0</v>
      </c>
      <c r="E81" s="168">
        <v>403175850</v>
      </c>
      <c r="F81" s="168">
        <v>0</v>
      </c>
      <c r="G81" s="168">
        <v>403175850</v>
      </c>
      <c r="H81" s="168">
        <v>399100000</v>
      </c>
      <c r="I81" s="168">
        <v>-4075850</v>
      </c>
      <c r="J81" s="168">
        <v>403175850</v>
      </c>
      <c r="K81" t="s">
        <v>2154</v>
      </c>
      <c r="L81" t="s">
        <v>2155</v>
      </c>
    </row>
    <row r="82" spans="1:12">
      <c r="A82">
        <v>26527</v>
      </c>
      <c r="B82" s="168">
        <v>17425300</v>
      </c>
      <c r="C82" s="170">
        <v>17425300</v>
      </c>
      <c r="D82" s="168">
        <v>0</v>
      </c>
      <c r="E82" s="168">
        <v>1723255300</v>
      </c>
      <c r="F82" s="168">
        <v>0</v>
      </c>
      <c r="G82" s="168">
        <v>1723255300</v>
      </c>
      <c r="H82" s="168">
        <v>1705830000</v>
      </c>
      <c r="I82" s="168">
        <v>-17425300</v>
      </c>
      <c r="J82" s="168">
        <v>1723255300</v>
      </c>
      <c r="K82" t="s">
        <v>1763</v>
      </c>
      <c r="L82" t="s">
        <v>2133</v>
      </c>
    </row>
    <row r="83" spans="1:12">
      <c r="A83">
        <v>39601</v>
      </c>
      <c r="B83" s="168">
        <v>575000</v>
      </c>
      <c r="C83" s="170">
        <v>565000</v>
      </c>
      <c r="D83" s="168">
        <v>10000</v>
      </c>
      <c r="E83" s="168">
        <v>61475900</v>
      </c>
      <c r="F83" s="168">
        <v>4410000</v>
      </c>
      <c r="G83" s="168">
        <v>57065900</v>
      </c>
      <c r="H83" s="168">
        <v>60900900</v>
      </c>
      <c r="I83" s="168">
        <v>3845000</v>
      </c>
      <c r="J83" s="168">
        <v>57055900</v>
      </c>
      <c r="K83" t="s">
        <v>1762</v>
      </c>
      <c r="L83" t="s">
        <v>2142</v>
      </c>
    </row>
    <row r="84" spans="1:12">
      <c r="A84">
        <v>23275</v>
      </c>
      <c r="B84" s="168">
        <v>108300</v>
      </c>
      <c r="C84" s="170">
        <v>108300</v>
      </c>
      <c r="D84" s="168">
        <v>0</v>
      </c>
      <c r="E84" s="168">
        <v>128308300</v>
      </c>
      <c r="F84" s="168">
        <v>0</v>
      </c>
      <c r="G84" s="168">
        <v>128308300</v>
      </c>
      <c r="H84" s="168">
        <v>128200000</v>
      </c>
      <c r="I84" s="168">
        <v>-108300</v>
      </c>
      <c r="J84" s="168">
        <v>128308300</v>
      </c>
      <c r="K84" t="s">
        <v>1762</v>
      </c>
      <c r="L84" t="s">
        <v>2142</v>
      </c>
    </row>
    <row r="85" spans="1:12">
      <c r="A85">
        <v>25718</v>
      </c>
      <c r="B85" s="168">
        <v>7649350</v>
      </c>
      <c r="C85" s="170">
        <v>7649350</v>
      </c>
      <c r="D85" s="168">
        <v>0</v>
      </c>
      <c r="E85" s="168">
        <v>759169350</v>
      </c>
      <c r="F85" s="168">
        <v>0</v>
      </c>
      <c r="G85" s="168">
        <v>759169350</v>
      </c>
      <c r="H85" s="168">
        <v>751520000</v>
      </c>
      <c r="I85" s="168">
        <v>-7649350</v>
      </c>
      <c r="J85" s="168">
        <v>759169350</v>
      </c>
      <c r="K85" t="s">
        <v>1767</v>
      </c>
      <c r="L85" t="s">
        <v>2143</v>
      </c>
    </row>
    <row r="86" spans="1:12">
      <c r="A86">
        <v>39964</v>
      </c>
      <c r="B86" s="168">
        <v>1111000</v>
      </c>
      <c r="C86" s="170">
        <v>1111000</v>
      </c>
      <c r="D86" s="168">
        <v>0</v>
      </c>
      <c r="E86" s="168">
        <v>116801000</v>
      </c>
      <c r="F86" s="168">
        <v>6250000</v>
      </c>
      <c r="G86" s="168">
        <v>110551000</v>
      </c>
      <c r="H86" s="168">
        <v>115690000</v>
      </c>
      <c r="I86" s="168">
        <v>5139000</v>
      </c>
      <c r="J86" s="168">
        <v>110551000</v>
      </c>
      <c r="K86" t="s">
        <v>1760</v>
      </c>
      <c r="L86" t="s">
        <v>2138</v>
      </c>
    </row>
    <row r="87" spans="1:12">
      <c r="A87">
        <v>16336</v>
      </c>
      <c r="B87" s="168">
        <v>7299350</v>
      </c>
      <c r="C87" s="170">
        <v>7299350</v>
      </c>
      <c r="D87" s="168">
        <v>0</v>
      </c>
      <c r="E87" s="168">
        <v>730119350</v>
      </c>
      <c r="F87" s="168">
        <v>0</v>
      </c>
      <c r="G87" s="168">
        <v>730119350</v>
      </c>
      <c r="H87" s="168">
        <v>722820000</v>
      </c>
      <c r="I87" s="168">
        <v>-7299350</v>
      </c>
      <c r="J87" s="168">
        <v>730119350</v>
      </c>
      <c r="K87" t="s">
        <v>1757</v>
      </c>
      <c r="L87" t="s">
        <v>2140</v>
      </c>
    </row>
    <row r="88" spans="1:12">
      <c r="A88">
        <v>18291</v>
      </c>
      <c r="B88" s="168">
        <v>6308850</v>
      </c>
      <c r="C88" s="170">
        <v>6308850</v>
      </c>
      <c r="D88" s="168">
        <v>0</v>
      </c>
      <c r="E88" s="168">
        <v>632668850</v>
      </c>
      <c r="F88" s="168">
        <v>0</v>
      </c>
      <c r="G88" s="168">
        <v>632668850</v>
      </c>
      <c r="H88" s="168">
        <v>626360000</v>
      </c>
      <c r="I88" s="168">
        <v>-6308850</v>
      </c>
      <c r="J88" s="168">
        <v>632668850</v>
      </c>
      <c r="K88" t="s">
        <v>1757</v>
      </c>
      <c r="L88" t="s">
        <v>2140</v>
      </c>
    </row>
    <row r="89" spans="1:12">
      <c r="A89">
        <v>21148</v>
      </c>
      <c r="B89" s="168">
        <v>7766950</v>
      </c>
      <c r="C89" s="170">
        <v>7735950</v>
      </c>
      <c r="D89" s="168">
        <v>31000</v>
      </c>
      <c r="E89" s="168">
        <v>777336950</v>
      </c>
      <c r="F89" s="168">
        <v>3131000</v>
      </c>
      <c r="G89" s="168">
        <v>774205950</v>
      </c>
      <c r="H89" s="168">
        <v>769570000</v>
      </c>
      <c r="I89" s="168">
        <v>-4604950</v>
      </c>
      <c r="J89" s="168">
        <v>774174950</v>
      </c>
      <c r="K89" t="s">
        <v>1756</v>
      </c>
      <c r="L89" t="s">
        <v>2134</v>
      </c>
    </row>
    <row r="90" spans="1:12">
      <c r="A90">
        <v>29293</v>
      </c>
      <c r="B90" s="168">
        <v>1216850</v>
      </c>
      <c r="C90" s="170">
        <v>1216850</v>
      </c>
      <c r="D90" s="168">
        <v>0</v>
      </c>
      <c r="E90" s="168">
        <v>120016850</v>
      </c>
      <c r="F90" s="168">
        <v>0</v>
      </c>
      <c r="G90" s="168">
        <v>120016850</v>
      </c>
      <c r="H90" s="168">
        <v>118800000</v>
      </c>
      <c r="I90" s="168">
        <v>-1216850</v>
      </c>
      <c r="J90" s="168">
        <v>120016850</v>
      </c>
      <c r="K90" t="s">
        <v>1758</v>
      </c>
      <c r="L90" t="s">
        <v>2153</v>
      </c>
    </row>
    <row r="91" spans="1:12">
      <c r="A91">
        <v>36031</v>
      </c>
      <c r="B91" s="168">
        <v>6170150</v>
      </c>
      <c r="C91" s="170">
        <v>6170150</v>
      </c>
      <c r="D91" s="168">
        <v>0</v>
      </c>
      <c r="E91" s="168">
        <v>620320150</v>
      </c>
      <c r="F91" s="168">
        <v>0</v>
      </c>
      <c r="G91" s="168">
        <v>620320150</v>
      </c>
      <c r="H91" s="168">
        <v>614150000</v>
      </c>
      <c r="I91" s="168">
        <v>-6170150</v>
      </c>
      <c r="J91" s="168">
        <v>620320150</v>
      </c>
      <c r="K91" t="s">
        <v>1767</v>
      </c>
      <c r="L91" t="s">
        <v>2143</v>
      </c>
    </row>
    <row r="92" spans="1:12">
      <c r="A92">
        <v>21272</v>
      </c>
      <c r="B92" s="168">
        <v>12162150</v>
      </c>
      <c r="C92" s="170">
        <v>12161150</v>
      </c>
      <c r="D92" s="168">
        <v>1000</v>
      </c>
      <c r="E92" s="168">
        <v>1210692150</v>
      </c>
      <c r="F92" s="168">
        <v>101000</v>
      </c>
      <c r="G92" s="168">
        <v>1210591150</v>
      </c>
      <c r="H92" s="168">
        <v>1198530000</v>
      </c>
      <c r="I92" s="168">
        <v>-12060150</v>
      </c>
      <c r="J92" s="168">
        <v>1210590150</v>
      </c>
      <c r="K92" t="s">
        <v>1758</v>
      </c>
      <c r="L92" t="s">
        <v>2153</v>
      </c>
    </row>
    <row r="93" spans="1:12">
      <c r="A93">
        <v>21300</v>
      </c>
      <c r="B93" s="168">
        <v>3829600</v>
      </c>
      <c r="C93" s="170">
        <v>3829600</v>
      </c>
      <c r="D93" s="168">
        <v>0</v>
      </c>
      <c r="E93" s="168">
        <v>382733600</v>
      </c>
      <c r="F93" s="168">
        <v>0</v>
      </c>
      <c r="G93" s="168">
        <v>382733600</v>
      </c>
      <c r="H93" s="168">
        <v>378904000</v>
      </c>
      <c r="I93" s="168">
        <v>-3829600</v>
      </c>
      <c r="J93" s="168">
        <v>382733600</v>
      </c>
      <c r="K93" t="s">
        <v>1756</v>
      </c>
      <c r="L93" t="s">
        <v>2134</v>
      </c>
    </row>
    <row r="94" spans="1:12">
      <c r="A94">
        <v>26393</v>
      </c>
      <c r="B94" s="168">
        <v>10670550</v>
      </c>
      <c r="C94" s="170">
        <v>10670550</v>
      </c>
      <c r="D94" s="168">
        <v>0</v>
      </c>
      <c r="E94" s="168">
        <v>1070030550</v>
      </c>
      <c r="F94" s="168">
        <v>0</v>
      </c>
      <c r="G94" s="168">
        <v>1070030550</v>
      </c>
      <c r="H94" s="168">
        <v>1059360000</v>
      </c>
      <c r="I94" s="168">
        <v>-10670550</v>
      </c>
      <c r="J94" s="168">
        <v>1070030550</v>
      </c>
      <c r="K94" t="s">
        <v>1757</v>
      </c>
      <c r="L94" t="s">
        <v>2140</v>
      </c>
    </row>
    <row r="95" spans="1:12">
      <c r="A95">
        <v>39593</v>
      </c>
      <c r="B95" s="168">
        <v>4545850</v>
      </c>
      <c r="C95" s="170">
        <v>4545850</v>
      </c>
      <c r="D95" s="168">
        <v>0</v>
      </c>
      <c r="E95" s="168">
        <v>451095950</v>
      </c>
      <c r="F95" s="168">
        <v>0</v>
      </c>
      <c r="G95" s="168">
        <v>451095950</v>
      </c>
      <c r="H95" s="168">
        <v>446550100</v>
      </c>
      <c r="I95" s="168">
        <v>-4545850</v>
      </c>
      <c r="J95" s="168">
        <v>451095950</v>
      </c>
      <c r="K95" t="s">
        <v>1759</v>
      </c>
      <c r="L95" t="s">
        <v>2149</v>
      </c>
    </row>
    <row r="96" spans="1:12">
      <c r="A96">
        <v>40010</v>
      </c>
      <c r="B96" s="168">
        <v>13471500</v>
      </c>
      <c r="C96" s="170">
        <v>13471500</v>
      </c>
      <c r="D96" s="168">
        <v>0</v>
      </c>
      <c r="E96" s="168">
        <v>1600511500</v>
      </c>
      <c r="F96" s="168">
        <v>263950000</v>
      </c>
      <c r="G96" s="168">
        <v>1336561500</v>
      </c>
      <c r="H96" s="168">
        <v>1587040000</v>
      </c>
      <c r="I96" s="168">
        <v>250478500</v>
      </c>
      <c r="J96" s="168">
        <v>1336561500</v>
      </c>
      <c r="K96" t="s">
        <v>1764</v>
      </c>
      <c r="L96" t="s">
        <v>2145</v>
      </c>
    </row>
    <row r="97" spans="1:12">
      <c r="A97">
        <v>16279</v>
      </c>
      <c r="B97" s="168">
        <v>2538850</v>
      </c>
      <c r="C97" s="170">
        <v>2538850</v>
      </c>
      <c r="D97" s="168">
        <v>0</v>
      </c>
      <c r="E97" s="168">
        <v>256373850</v>
      </c>
      <c r="F97" s="168">
        <v>0</v>
      </c>
      <c r="G97" s="168">
        <v>256373850</v>
      </c>
      <c r="H97" s="168">
        <v>253835000</v>
      </c>
      <c r="I97" s="168">
        <v>-2538850</v>
      </c>
      <c r="J97" s="168">
        <v>256373850</v>
      </c>
      <c r="K97" t="s">
        <v>1763</v>
      </c>
      <c r="L97" t="s">
        <v>2133</v>
      </c>
    </row>
    <row r="98" spans="1:12">
      <c r="A98">
        <v>39552</v>
      </c>
      <c r="B98" s="168">
        <v>454150</v>
      </c>
      <c r="C98" s="170">
        <v>454150</v>
      </c>
      <c r="D98" s="168">
        <v>0</v>
      </c>
      <c r="E98" s="168">
        <v>1079000150</v>
      </c>
      <c r="F98" s="168">
        <v>56023600</v>
      </c>
      <c r="G98" s="168">
        <v>1022976550</v>
      </c>
      <c r="H98" s="168">
        <v>1078546000</v>
      </c>
      <c r="I98" s="168">
        <v>55569450</v>
      </c>
      <c r="J98" s="168">
        <v>1022976550</v>
      </c>
      <c r="K98" t="s">
        <v>1762</v>
      </c>
      <c r="L98" t="s">
        <v>2142</v>
      </c>
    </row>
    <row r="99" spans="1:12">
      <c r="A99">
        <v>25729</v>
      </c>
      <c r="B99" s="168">
        <v>757900</v>
      </c>
      <c r="C99" s="170">
        <v>757900</v>
      </c>
      <c r="D99" s="168">
        <v>0</v>
      </c>
      <c r="E99" s="168">
        <v>76547900</v>
      </c>
      <c r="F99" s="168">
        <v>0</v>
      </c>
      <c r="G99" s="168">
        <v>76547900</v>
      </c>
      <c r="H99" s="168">
        <v>75790000</v>
      </c>
      <c r="I99" s="168">
        <v>-757900</v>
      </c>
      <c r="J99" s="168">
        <v>76547900</v>
      </c>
      <c r="K99" t="s">
        <v>1757</v>
      </c>
      <c r="L99" t="s">
        <v>2140</v>
      </c>
    </row>
    <row r="100" spans="1:12">
      <c r="A100">
        <v>39533</v>
      </c>
      <c r="B100" s="168">
        <v>402600</v>
      </c>
      <c r="C100" s="170">
        <v>402600</v>
      </c>
      <c r="D100" s="168">
        <v>0</v>
      </c>
      <c r="E100" s="168">
        <v>1463267300</v>
      </c>
      <c r="F100" s="168">
        <v>94772900</v>
      </c>
      <c r="G100" s="168">
        <v>1368494400</v>
      </c>
      <c r="H100" s="168">
        <v>1462864700</v>
      </c>
      <c r="I100" s="168">
        <v>94370300</v>
      </c>
      <c r="J100" s="168">
        <v>1368494400</v>
      </c>
      <c r="K100" t="s">
        <v>1762</v>
      </c>
      <c r="L100" t="s">
        <v>2142</v>
      </c>
    </row>
    <row r="101" spans="1:12">
      <c r="A101">
        <v>39957</v>
      </c>
      <c r="B101" s="168">
        <v>7513350</v>
      </c>
      <c r="C101" s="170">
        <v>7513350</v>
      </c>
      <c r="D101" s="168">
        <v>0</v>
      </c>
      <c r="E101" s="168">
        <v>842345350</v>
      </c>
      <c r="F101" s="168">
        <v>96232000</v>
      </c>
      <c r="G101" s="168">
        <v>746113350</v>
      </c>
      <c r="H101" s="168">
        <v>834832000</v>
      </c>
      <c r="I101" s="168">
        <v>88718650</v>
      </c>
      <c r="J101" s="168">
        <v>746113350</v>
      </c>
      <c r="K101" t="s">
        <v>1768</v>
      </c>
      <c r="L101" t="s">
        <v>2139</v>
      </c>
    </row>
    <row r="102" spans="1:12">
      <c r="A102">
        <v>21354</v>
      </c>
      <c r="B102" s="168">
        <v>1623400</v>
      </c>
      <c r="C102" s="170">
        <v>1623400</v>
      </c>
      <c r="D102" s="168">
        <v>0</v>
      </c>
      <c r="E102" s="168">
        <v>163203400</v>
      </c>
      <c r="F102" s="168">
        <v>0</v>
      </c>
      <c r="G102" s="168">
        <v>163203400</v>
      </c>
      <c r="H102" s="168">
        <v>161580000</v>
      </c>
      <c r="I102" s="168">
        <v>-1623400</v>
      </c>
      <c r="J102" s="168">
        <v>163203400</v>
      </c>
      <c r="K102" t="s">
        <v>1761</v>
      </c>
      <c r="L102" t="s">
        <v>2132</v>
      </c>
    </row>
    <row r="103" spans="1:12">
      <c r="A103">
        <v>25719</v>
      </c>
      <c r="B103" s="168">
        <v>15039850</v>
      </c>
      <c r="C103" s="170">
        <v>15039850</v>
      </c>
      <c r="D103" s="168">
        <v>0</v>
      </c>
      <c r="E103" s="168">
        <v>1503649850</v>
      </c>
      <c r="F103" s="168">
        <v>0</v>
      </c>
      <c r="G103" s="168">
        <v>1503649850</v>
      </c>
      <c r="H103" s="168">
        <v>1488610000</v>
      </c>
      <c r="I103" s="168">
        <v>-15039850</v>
      </c>
      <c r="J103" s="168">
        <v>1503649850</v>
      </c>
      <c r="K103" t="s">
        <v>1767</v>
      </c>
      <c r="L103" t="s">
        <v>2143</v>
      </c>
    </row>
    <row r="104" spans="1:12">
      <c r="A104">
        <v>21313</v>
      </c>
      <c r="B104" s="168">
        <v>2293550</v>
      </c>
      <c r="C104" s="170">
        <v>2293550</v>
      </c>
      <c r="D104" s="168">
        <v>0</v>
      </c>
      <c r="E104" s="168">
        <v>228003550</v>
      </c>
      <c r="F104" s="168">
        <v>0</v>
      </c>
      <c r="G104" s="168">
        <v>228003550</v>
      </c>
      <c r="H104" s="168">
        <v>225710000</v>
      </c>
      <c r="I104" s="168">
        <v>-2293550</v>
      </c>
      <c r="J104" s="168">
        <v>228003550</v>
      </c>
      <c r="K104" t="s">
        <v>2146</v>
      </c>
      <c r="L104" t="s">
        <v>2147</v>
      </c>
    </row>
    <row r="105" spans="1:12">
      <c r="A105">
        <v>21965</v>
      </c>
      <c r="B105" s="168">
        <v>29069900</v>
      </c>
      <c r="C105" s="170">
        <v>29069900</v>
      </c>
      <c r="D105" s="168">
        <v>0</v>
      </c>
      <c r="E105" s="168">
        <v>2926389900</v>
      </c>
      <c r="F105" s="168">
        <v>0</v>
      </c>
      <c r="G105" s="168">
        <v>2926389900</v>
      </c>
      <c r="H105" s="168">
        <v>2897320000</v>
      </c>
      <c r="I105" s="168">
        <v>-29069900</v>
      </c>
      <c r="J105" s="168">
        <v>2926389900</v>
      </c>
      <c r="K105" t="s">
        <v>1764</v>
      </c>
      <c r="L105" t="s">
        <v>2145</v>
      </c>
    </row>
    <row r="106" spans="1:12">
      <c r="A106">
        <v>25743</v>
      </c>
      <c r="B106" s="168">
        <v>12117550</v>
      </c>
      <c r="C106" s="170">
        <v>12117550</v>
      </c>
      <c r="D106" s="168">
        <v>0</v>
      </c>
      <c r="E106" s="168">
        <v>1212507550</v>
      </c>
      <c r="F106" s="168">
        <v>0</v>
      </c>
      <c r="G106" s="168">
        <v>1212507550</v>
      </c>
      <c r="H106" s="168">
        <v>1200390000</v>
      </c>
      <c r="I106" s="168">
        <v>-12117550</v>
      </c>
      <c r="J106" s="168">
        <v>1212507550</v>
      </c>
      <c r="K106" t="s">
        <v>1759</v>
      </c>
      <c r="L106" t="s">
        <v>2149</v>
      </c>
    </row>
    <row r="107" spans="1:12">
      <c r="A107">
        <v>25781</v>
      </c>
      <c r="B107" s="168">
        <v>3606750</v>
      </c>
      <c r="C107" s="170">
        <v>3606750</v>
      </c>
      <c r="D107" s="168">
        <v>0</v>
      </c>
      <c r="E107" s="168">
        <v>293566750</v>
      </c>
      <c r="F107" s="168">
        <v>0</v>
      </c>
      <c r="G107" s="168">
        <v>293566750</v>
      </c>
      <c r="H107" s="168">
        <v>289960000</v>
      </c>
      <c r="I107" s="168">
        <v>-3606750</v>
      </c>
      <c r="J107" s="168">
        <v>293566750</v>
      </c>
      <c r="K107" t="s">
        <v>1755</v>
      </c>
      <c r="L107" t="s">
        <v>2141</v>
      </c>
    </row>
    <row r="108" spans="1:12">
      <c r="A108">
        <v>39259</v>
      </c>
      <c r="B108" s="168">
        <v>140400</v>
      </c>
      <c r="C108" s="170">
        <v>140400</v>
      </c>
      <c r="D108" s="168">
        <v>0</v>
      </c>
      <c r="E108" s="168">
        <v>36970600</v>
      </c>
      <c r="F108" s="168">
        <v>20760200</v>
      </c>
      <c r="G108" s="168">
        <v>16210400</v>
      </c>
      <c r="H108" s="168">
        <v>36830200</v>
      </c>
      <c r="I108" s="168">
        <v>20619800</v>
      </c>
      <c r="J108" s="168">
        <v>16210400</v>
      </c>
      <c r="K108" t="s">
        <v>1762</v>
      </c>
      <c r="L108" t="s">
        <v>2142</v>
      </c>
    </row>
    <row r="109" spans="1:12">
      <c r="A109">
        <v>39841</v>
      </c>
      <c r="B109" s="168">
        <v>5159350</v>
      </c>
      <c r="C109" s="170">
        <v>5159350</v>
      </c>
      <c r="D109" s="168">
        <v>0</v>
      </c>
      <c r="E109" s="168">
        <v>563109350</v>
      </c>
      <c r="F109" s="168">
        <v>47110000</v>
      </c>
      <c r="G109" s="168">
        <v>515999350</v>
      </c>
      <c r="H109" s="168">
        <v>557950000</v>
      </c>
      <c r="I109" s="168">
        <v>41950650</v>
      </c>
      <c r="J109" s="168">
        <v>515999350</v>
      </c>
      <c r="K109" t="s">
        <v>1759</v>
      </c>
      <c r="L109" t="s">
        <v>2149</v>
      </c>
    </row>
    <row r="110" spans="1:12">
      <c r="A110">
        <v>16939</v>
      </c>
      <c r="B110" s="168">
        <v>13326650</v>
      </c>
      <c r="C110" s="170">
        <v>13324650</v>
      </c>
      <c r="D110" s="168">
        <v>2000</v>
      </c>
      <c r="E110" s="168">
        <v>1338686650</v>
      </c>
      <c r="F110" s="168">
        <v>202000</v>
      </c>
      <c r="G110" s="168">
        <v>1338484650</v>
      </c>
      <c r="H110" s="168">
        <v>1325360000</v>
      </c>
      <c r="I110" s="168">
        <v>-13122650</v>
      </c>
      <c r="J110" s="168">
        <v>1338482650</v>
      </c>
      <c r="K110" t="s">
        <v>1764</v>
      </c>
      <c r="L110" t="s">
        <v>2145</v>
      </c>
    </row>
    <row r="111" spans="1:12">
      <c r="A111">
        <v>18158</v>
      </c>
      <c r="B111" s="168">
        <v>577450</v>
      </c>
      <c r="C111" s="170">
        <v>577450</v>
      </c>
      <c r="D111" s="168">
        <v>0</v>
      </c>
      <c r="E111" s="168">
        <v>56407450</v>
      </c>
      <c r="F111" s="168">
        <v>0</v>
      </c>
      <c r="G111" s="168">
        <v>56407450</v>
      </c>
      <c r="H111" s="168">
        <v>55830000</v>
      </c>
      <c r="I111" s="168">
        <v>-577450</v>
      </c>
      <c r="J111" s="168">
        <v>56407450</v>
      </c>
      <c r="K111" t="s">
        <v>1759</v>
      </c>
      <c r="L111" t="s">
        <v>2149</v>
      </c>
    </row>
    <row r="112" spans="1:12">
      <c r="A112">
        <v>21087</v>
      </c>
      <c r="B112" s="168">
        <v>10791600</v>
      </c>
      <c r="C112" s="170">
        <v>10781600</v>
      </c>
      <c r="D112" s="168">
        <v>10000</v>
      </c>
      <c r="E112" s="168">
        <v>1076161600</v>
      </c>
      <c r="F112" s="168">
        <v>1010000</v>
      </c>
      <c r="G112" s="168">
        <v>1075151600</v>
      </c>
      <c r="H112" s="168">
        <v>1065370000</v>
      </c>
      <c r="I112" s="168">
        <v>-9771600</v>
      </c>
      <c r="J112" s="168">
        <v>1075141600</v>
      </c>
      <c r="K112" t="s">
        <v>1766</v>
      </c>
      <c r="L112" t="s">
        <v>2144</v>
      </c>
    </row>
    <row r="113" spans="1:12">
      <c r="A113">
        <v>23658</v>
      </c>
      <c r="B113" s="168">
        <v>19463300</v>
      </c>
      <c r="C113" s="170">
        <v>19460300</v>
      </c>
      <c r="D113" s="168">
        <v>3000</v>
      </c>
      <c r="E113" s="168">
        <v>1930593300</v>
      </c>
      <c r="F113" s="168">
        <v>303000</v>
      </c>
      <c r="G113" s="168">
        <v>1930290300</v>
      </c>
      <c r="H113" s="168">
        <v>1911130000</v>
      </c>
      <c r="I113" s="168">
        <v>-19157300</v>
      </c>
      <c r="J113" s="168">
        <v>1930287300</v>
      </c>
      <c r="K113" t="s">
        <v>1761</v>
      </c>
      <c r="L113" t="s">
        <v>2132</v>
      </c>
    </row>
    <row r="114" spans="1:12">
      <c r="A114">
        <v>21207</v>
      </c>
      <c r="B114" s="168">
        <v>9208400</v>
      </c>
      <c r="C114" s="170">
        <v>9199600</v>
      </c>
      <c r="D114" s="168">
        <v>8800</v>
      </c>
      <c r="E114" s="168">
        <v>903108400</v>
      </c>
      <c r="F114" s="168">
        <v>888800</v>
      </c>
      <c r="G114" s="168">
        <v>902219600</v>
      </c>
      <c r="H114" s="168">
        <v>893900000</v>
      </c>
      <c r="I114" s="168">
        <v>-8310800</v>
      </c>
      <c r="J114" s="168">
        <v>902210800</v>
      </c>
      <c r="K114" t="s">
        <v>1766</v>
      </c>
      <c r="L114" t="s">
        <v>2144</v>
      </c>
    </row>
    <row r="115" spans="1:12">
      <c r="A115">
        <v>29292</v>
      </c>
      <c r="B115" s="168">
        <v>16128400</v>
      </c>
      <c r="C115" s="170">
        <v>16128400</v>
      </c>
      <c r="D115" s="168">
        <v>0</v>
      </c>
      <c r="E115" s="168">
        <v>1586668400</v>
      </c>
      <c r="F115" s="168">
        <v>0</v>
      </c>
      <c r="G115" s="168">
        <v>1586668400</v>
      </c>
      <c r="H115" s="168">
        <v>1570540000</v>
      </c>
      <c r="I115" s="168">
        <v>-16128400</v>
      </c>
      <c r="J115" s="168">
        <v>1586668400</v>
      </c>
      <c r="K115" t="s">
        <v>1758</v>
      </c>
      <c r="L115" t="s">
        <v>2153</v>
      </c>
    </row>
    <row r="116" spans="1:12">
      <c r="A116">
        <v>34769</v>
      </c>
      <c r="B116" s="168">
        <v>4361550</v>
      </c>
      <c r="C116" s="170">
        <v>4361550</v>
      </c>
      <c r="D116" s="168">
        <v>0</v>
      </c>
      <c r="E116" s="168">
        <v>426146550</v>
      </c>
      <c r="F116" s="168">
        <v>0</v>
      </c>
      <c r="G116" s="168">
        <v>426146550</v>
      </c>
      <c r="H116" s="168">
        <v>421785000</v>
      </c>
      <c r="I116" s="168">
        <v>-4361550</v>
      </c>
      <c r="J116" s="168">
        <v>426146550</v>
      </c>
      <c r="K116" t="s">
        <v>1765</v>
      </c>
      <c r="L116" t="s">
        <v>2137</v>
      </c>
    </row>
    <row r="117" spans="1:12">
      <c r="A117">
        <v>18327</v>
      </c>
      <c r="B117" s="168">
        <v>9304300</v>
      </c>
      <c r="C117" s="170">
        <v>9304300</v>
      </c>
      <c r="D117" s="168">
        <v>0</v>
      </c>
      <c r="E117" s="168">
        <v>924544300</v>
      </c>
      <c r="F117" s="168">
        <v>0</v>
      </c>
      <c r="G117" s="168">
        <v>924544300</v>
      </c>
      <c r="H117" s="168">
        <v>915240000</v>
      </c>
      <c r="I117" s="168">
        <v>-9304300</v>
      </c>
      <c r="J117" s="168">
        <v>924544300</v>
      </c>
      <c r="K117" t="s">
        <v>1755</v>
      </c>
      <c r="L117" t="s">
        <v>2141</v>
      </c>
    </row>
    <row r="118" spans="1:12">
      <c r="A118">
        <v>21425</v>
      </c>
      <c r="B118" s="168">
        <v>2159150</v>
      </c>
      <c r="C118" s="170">
        <v>2159150</v>
      </c>
      <c r="D118" s="168">
        <v>0</v>
      </c>
      <c r="E118" s="168">
        <v>214439150</v>
      </c>
      <c r="F118" s="168">
        <v>0</v>
      </c>
      <c r="G118" s="168">
        <v>214439150</v>
      </c>
      <c r="H118" s="168">
        <v>212280000</v>
      </c>
      <c r="I118" s="168">
        <v>-2159150</v>
      </c>
      <c r="J118" s="168">
        <v>214439150</v>
      </c>
      <c r="K118" t="s">
        <v>1760</v>
      </c>
      <c r="L118" t="s">
        <v>2138</v>
      </c>
    </row>
    <row r="119" spans="1:12">
      <c r="A119">
        <v>25702</v>
      </c>
      <c r="B119" s="168">
        <v>15881500</v>
      </c>
      <c r="C119" s="170">
        <v>15881500</v>
      </c>
      <c r="D119" s="168">
        <v>0</v>
      </c>
      <c r="E119" s="168">
        <v>1577941500</v>
      </c>
      <c r="F119" s="168">
        <v>0</v>
      </c>
      <c r="G119" s="168">
        <v>1577941500</v>
      </c>
      <c r="H119" s="168">
        <v>1562060000</v>
      </c>
      <c r="I119" s="168">
        <v>-15881500</v>
      </c>
      <c r="J119" s="168">
        <v>1577941500</v>
      </c>
      <c r="K119" t="s">
        <v>1758</v>
      </c>
      <c r="L119" t="s">
        <v>2153</v>
      </c>
    </row>
    <row r="120" spans="1:12">
      <c r="A120">
        <v>21473</v>
      </c>
      <c r="B120" s="168">
        <v>2548350</v>
      </c>
      <c r="C120" s="170">
        <v>2548350</v>
      </c>
      <c r="D120" s="168">
        <v>0</v>
      </c>
      <c r="E120" s="168">
        <v>497778350</v>
      </c>
      <c r="F120" s="168">
        <v>0</v>
      </c>
      <c r="G120" s="168">
        <v>497778350</v>
      </c>
      <c r="H120" s="168">
        <v>495230000</v>
      </c>
      <c r="I120" s="168">
        <v>-2548350</v>
      </c>
      <c r="J120" s="168">
        <v>497778350</v>
      </c>
      <c r="K120" t="s">
        <v>1762</v>
      </c>
      <c r="L120" t="s">
        <v>2142</v>
      </c>
    </row>
    <row r="121" spans="1:12">
      <c r="A121">
        <v>15897</v>
      </c>
      <c r="B121" s="168">
        <v>6616400</v>
      </c>
      <c r="C121" s="170">
        <v>6616400</v>
      </c>
      <c r="D121" s="168">
        <v>0</v>
      </c>
      <c r="E121" s="168">
        <v>662256400</v>
      </c>
      <c r="F121" s="168">
        <v>0</v>
      </c>
      <c r="G121" s="168">
        <v>662256400</v>
      </c>
      <c r="H121" s="168">
        <v>655640000</v>
      </c>
      <c r="I121" s="168">
        <v>-6616400</v>
      </c>
      <c r="J121" s="168">
        <v>662256400</v>
      </c>
      <c r="K121" t="s">
        <v>1755</v>
      </c>
      <c r="L121" t="s">
        <v>2141</v>
      </c>
    </row>
    <row r="122" spans="1:12">
      <c r="A122">
        <v>29593</v>
      </c>
      <c r="B122" s="168">
        <v>12219400</v>
      </c>
      <c r="C122" s="170">
        <v>12219400</v>
      </c>
      <c r="D122" s="168">
        <v>0</v>
      </c>
      <c r="E122" s="168">
        <v>1188279400</v>
      </c>
      <c r="F122" s="168">
        <v>0</v>
      </c>
      <c r="G122" s="168">
        <v>1188279400</v>
      </c>
      <c r="H122" s="168">
        <v>1176060000</v>
      </c>
      <c r="I122" s="168">
        <v>-12219400</v>
      </c>
      <c r="J122" s="168">
        <v>1188279400</v>
      </c>
      <c r="K122" t="s">
        <v>1765</v>
      </c>
      <c r="L122" t="s">
        <v>2137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B741B-DE45-4A3B-90F0-AF1CD95F351D}">
  <dimension ref="A1:L109"/>
  <sheetViews>
    <sheetView topLeftCell="A57" workbookViewId="0">
      <selection activeCell="D75" sqref="D75"/>
    </sheetView>
  </sheetViews>
  <sheetFormatPr defaultRowHeight="15"/>
  <cols>
    <col min="1" max="1" width="10.5703125" style="171" bestFit="1" customWidth="1"/>
    <col min="2" max="2" width="16.5703125" bestFit="1" customWidth="1"/>
    <col min="3" max="3" width="20" bestFit="1" customWidth="1"/>
    <col min="4" max="4" width="19.85546875" style="169" bestFit="1" customWidth="1"/>
    <col min="5" max="5" width="16.42578125" bestFit="1" customWidth="1"/>
    <col min="6" max="6" width="18.28515625" bestFit="1" customWidth="1"/>
    <col min="7" max="7" width="18.140625" bestFit="1" customWidth="1"/>
    <col min="8" max="8" width="16.42578125" bestFit="1" customWidth="1"/>
    <col min="9" max="9" width="18.5703125" bestFit="1" customWidth="1"/>
    <col min="10" max="10" width="18.42578125" bestFit="1" customWidth="1"/>
    <col min="11" max="11" width="14.85546875" bestFit="1" customWidth="1"/>
    <col min="12" max="12" width="28.7109375" bestFit="1" customWidth="1"/>
  </cols>
  <sheetData>
    <row r="1" spans="1:12">
      <c r="A1" s="171" t="s">
        <v>2120</v>
      </c>
      <c r="B1" t="s">
        <v>2121</v>
      </c>
      <c r="C1" t="s">
        <v>2122</v>
      </c>
      <c r="D1" s="169" t="s">
        <v>2123</v>
      </c>
      <c r="E1" t="s">
        <v>2124</v>
      </c>
      <c r="F1" t="s">
        <v>2125</v>
      </c>
      <c r="G1" t="s">
        <v>2126</v>
      </c>
      <c r="H1" t="s">
        <v>2127</v>
      </c>
      <c r="I1" t="s">
        <v>2128</v>
      </c>
      <c r="J1" t="s">
        <v>2129</v>
      </c>
      <c r="K1" t="s">
        <v>2130</v>
      </c>
      <c r="L1" t="s">
        <v>2131</v>
      </c>
    </row>
    <row r="2" spans="1:12">
      <c r="A2" s="171">
        <v>15700003</v>
      </c>
      <c r="B2" s="168">
        <v>15059500</v>
      </c>
      <c r="C2" s="168">
        <v>0</v>
      </c>
      <c r="D2" s="170">
        <v>15059500</v>
      </c>
      <c r="E2" s="168">
        <v>1507499500</v>
      </c>
      <c r="F2" s="168">
        <v>0</v>
      </c>
      <c r="G2" s="168">
        <v>1507499500</v>
      </c>
      <c r="H2" s="168">
        <v>1492440000</v>
      </c>
      <c r="I2" s="168">
        <v>0</v>
      </c>
      <c r="J2" s="168">
        <v>1492440000</v>
      </c>
      <c r="K2" t="s">
        <v>1758</v>
      </c>
      <c r="L2" t="s">
        <v>2153</v>
      </c>
    </row>
    <row r="3" spans="1:12">
      <c r="A3" s="171" t="s">
        <v>1209</v>
      </c>
      <c r="B3" s="168">
        <v>2153300</v>
      </c>
      <c r="C3" s="168">
        <v>0</v>
      </c>
      <c r="D3" s="170">
        <v>2153300</v>
      </c>
      <c r="E3" s="168">
        <v>204443300</v>
      </c>
      <c r="F3" s="168">
        <v>0</v>
      </c>
      <c r="G3" s="168">
        <v>204443300</v>
      </c>
      <c r="H3" s="168">
        <v>202290000</v>
      </c>
      <c r="I3" s="168">
        <v>0</v>
      </c>
      <c r="J3" s="168">
        <v>202290000</v>
      </c>
      <c r="K3" t="s">
        <v>1762</v>
      </c>
      <c r="L3" t="s">
        <v>2142</v>
      </c>
    </row>
    <row r="4" spans="1:12">
      <c r="A4" s="171" t="s">
        <v>1146</v>
      </c>
      <c r="B4" s="168">
        <v>5661500</v>
      </c>
      <c r="C4" s="168">
        <v>0</v>
      </c>
      <c r="D4" s="170">
        <v>5661500</v>
      </c>
      <c r="E4" s="168">
        <v>563101500</v>
      </c>
      <c r="F4" s="168">
        <v>0</v>
      </c>
      <c r="G4" s="168">
        <v>563101500</v>
      </c>
      <c r="H4" s="168">
        <v>557440000</v>
      </c>
      <c r="I4" s="168">
        <v>0</v>
      </c>
      <c r="J4" s="168">
        <v>557440000</v>
      </c>
      <c r="K4" t="s">
        <v>1759</v>
      </c>
      <c r="L4" t="s">
        <v>2149</v>
      </c>
    </row>
    <row r="5" spans="1:12">
      <c r="A5" s="171" t="s">
        <v>882</v>
      </c>
      <c r="B5" s="168">
        <v>16662550</v>
      </c>
      <c r="C5" s="168">
        <v>0</v>
      </c>
      <c r="D5" s="170">
        <v>16662550</v>
      </c>
      <c r="E5" s="168">
        <v>1659672550</v>
      </c>
      <c r="F5" s="168">
        <v>0</v>
      </c>
      <c r="G5" s="168">
        <v>1659672550</v>
      </c>
      <c r="H5" s="168">
        <v>1643010000</v>
      </c>
      <c r="I5" s="168">
        <v>0</v>
      </c>
      <c r="J5" s="168">
        <v>1643010000</v>
      </c>
      <c r="K5" t="s">
        <v>1767</v>
      </c>
      <c r="L5" t="s">
        <v>2143</v>
      </c>
    </row>
    <row r="6" spans="1:12">
      <c r="A6" s="171" t="s">
        <v>1361</v>
      </c>
      <c r="B6" s="168">
        <v>4918100</v>
      </c>
      <c r="C6" s="168">
        <v>0</v>
      </c>
      <c r="D6" s="170">
        <v>4918100</v>
      </c>
      <c r="E6" s="168">
        <v>488938100</v>
      </c>
      <c r="F6" s="168">
        <v>0</v>
      </c>
      <c r="G6" s="168">
        <v>488938100</v>
      </c>
      <c r="H6" s="168">
        <v>484020000</v>
      </c>
      <c r="I6" s="168">
        <v>0</v>
      </c>
      <c r="J6" s="168">
        <v>484020000</v>
      </c>
      <c r="K6" t="s">
        <v>1756</v>
      </c>
      <c r="L6" t="s">
        <v>2134</v>
      </c>
    </row>
    <row r="7" spans="1:12">
      <c r="A7" s="171" t="s">
        <v>701</v>
      </c>
      <c r="B7" s="168">
        <v>3727750</v>
      </c>
      <c r="C7" s="168">
        <v>0</v>
      </c>
      <c r="D7" s="170">
        <v>3727750</v>
      </c>
      <c r="E7" s="168">
        <v>351682750</v>
      </c>
      <c r="F7" s="168">
        <v>0</v>
      </c>
      <c r="G7" s="168">
        <v>351682750</v>
      </c>
      <c r="H7" s="168">
        <v>347955000</v>
      </c>
      <c r="I7" s="168">
        <v>0</v>
      </c>
      <c r="J7" s="168">
        <v>347955000</v>
      </c>
      <c r="K7" t="s">
        <v>1761</v>
      </c>
      <c r="L7" t="s">
        <v>2132</v>
      </c>
    </row>
    <row r="8" spans="1:12">
      <c r="A8" s="171" t="s">
        <v>487</v>
      </c>
      <c r="B8" s="168">
        <v>2966700</v>
      </c>
      <c r="C8" s="168">
        <v>0</v>
      </c>
      <c r="D8" s="170">
        <v>2966700</v>
      </c>
      <c r="E8" s="168">
        <v>278766700</v>
      </c>
      <c r="F8" s="168">
        <v>0</v>
      </c>
      <c r="G8" s="168">
        <v>278766700</v>
      </c>
      <c r="H8" s="168">
        <v>275800000</v>
      </c>
      <c r="I8" s="168">
        <v>0</v>
      </c>
      <c r="J8" s="168">
        <v>275800000</v>
      </c>
      <c r="K8" t="s">
        <v>1758</v>
      </c>
      <c r="L8" t="s">
        <v>2153</v>
      </c>
    </row>
    <row r="9" spans="1:12">
      <c r="A9" s="171" t="s">
        <v>427</v>
      </c>
      <c r="B9" s="168">
        <v>2386800</v>
      </c>
      <c r="C9" s="168">
        <v>0</v>
      </c>
      <c r="D9" s="170">
        <v>2386800</v>
      </c>
      <c r="E9" s="168">
        <v>295286800</v>
      </c>
      <c r="F9" s="168">
        <v>0</v>
      </c>
      <c r="G9" s="168">
        <v>295286800</v>
      </c>
      <c r="H9" s="168">
        <v>292900000</v>
      </c>
      <c r="I9" s="168">
        <v>0</v>
      </c>
      <c r="J9" s="168">
        <v>292900000</v>
      </c>
      <c r="K9" t="s">
        <v>1764</v>
      </c>
      <c r="L9" t="s">
        <v>2145</v>
      </c>
    </row>
    <row r="10" spans="1:12">
      <c r="A10" s="171" t="s">
        <v>510</v>
      </c>
      <c r="B10" s="168">
        <v>16119150</v>
      </c>
      <c r="C10" s="168">
        <v>0</v>
      </c>
      <c r="D10" s="170">
        <v>16119150</v>
      </c>
      <c r="E10" s="168">
        <v>1596759150</v>
      </c>
      <c r="F10" s="168">
        <v>0</v>
      </c>
      <c r="G10" s="168">
        <v>1596759150</v>
      </c>
      <c r="H10" s="168">
        <v>1580640000</v>
      </c>
      <c r="I10" s="168">
        <v>0</v>
      </c>
      <c r="J10" s="168">
        <v>1580640000</v>
      </c>
      <c r="K10" t="s">
        <v>1758</v>
      </c>
      <c r="L10" t="s">
        <v>2153</v>
      </c>
    </row>
    <row r="11" spans="1:12">
      <c r="A11" s="171">
        <v>15700002</v>
      </c>
      <c r="B11" s="168">
        <v>3650800</v>
      </c>
      <c r="C11" s="168">
        <v>0</v>
      </c>
      <c r="D11" s="170">
        <v>3650800</v>
      </c>
      <c r="E11" s="168">
        <v>356860800</v>
      </c>
      <c r="F11" s="168">
        <v>0</v>
      </c>
      <c r="G11" s="168">
        <v>356860800</v>
      </c>
      <c r="H11" s="168">
        <v>353210000</v>
      </c>
      <c r="I11" s="168">
        <v>0</v>
      </c>
      <c r="J11" s="168">
        <v>353210000</v>
      </c>
      <c r="K11" t="s">
        <v>1760</v>
      </c>
      <c r="L11" t="s">
        <v>2138</v>
      </c>
    </row>
    <row r="12" spans="1:12">
      <c r="A12" s="171" t="s">
        <v>597</v>
      </c>
      <c r="B12" s="168">
        <v>3302100</v>
      </c>
      <c r="C12" s="168">
        <v>0</v>
      </c>
      <c r="D12" s="170">
        <v>3302100</v>
      </c>
      <c r="E12" s="168">
        <v>332162100</v>
      </c>
      <c r="F12" s="168">
        <v>0</v>
      </c>
      <c r="G12" s="168">
        <v>332162100</v>
      </c>
      <c r="H12" s="168">
        <v>328860000</v>
      </c>
      <c r="I12" s="168">
        <v>0</v>
      </c>
      <c r="J12" s="168">
        <v>328860000</v>
      </c>
      <c r="K12" t="s">
        <v>1755</v>
      </c>
      <c r="L12" t="s">
        <v>2141</v>
      </c>
    </row>
    <row r="13" spans="1:12">
      <c r="A13" s="171" t="s">
        <v>560</v>
      </c>
      <c r="B13" s="168">
        <v>8537350</v>
      </c>
      <c r="C13" s="168">
        <v>0</v>
      </c>
      <c r="D13" s="170">
        <v>8537350</v>
      </c>
      <c r="E13" s="168">
        <v>852497350</v>
      </c>
      <c r="F13" s="168">
        <v>0</v>
      </c>
      <c r="G13" s="168">
        <v>852497350</v>
      </c>
      <c r="H13" s="168">
        <v>843960000</v>
      </c>
      <c r="I13" s="168">
        <v>0</v>
      </c>
      <c r="J13" s="168">
        <v>843960000</v>
      </c>
      <c r="K13" t="s">
        <v>1755</v>
      </c>
      <c r="L13" t="s">
        <v>2141</v>
      </c>
    </row>
    <row r="14" spans="1:12">
      <c r="A14" s="171" t="s">
        <v>393</v>
      </c>
      <c r="B14" s="168">
        <v>25000700</v>
      </c>
      <c r="C14" s="168">
        <v>0</v>
      </c>
      <c r="D14" s="170">
        <v>25000700</v>
      </c>
      <c r="E14" s="168">
        <v>2489420700</v>
      </c>
      <c r="F14" s="168">
        <v>0</v>
      </c>
      <c r="G14" s="168">
        <v>2489420700</v>
      </c>
      <c r="H14" s="168">
        <v>2464420000</v>
      </c>
      <c r="I14" s="168">
        <v>0</v>
      </c>
      <c r="J14" s="168">
        <v>2464420000</v>
      </c>
      <c r="K14" t="s">
        <v>1764</v>
      </c>
      <c r="L14" t="s">
        <v>2145</v>
      </c>
    </row>
    <row r="15" spans="1:12">
      <c r="A15" s="171" t="s">
        <v>817</v>
      </c>
      <c r="B15" s="168">
        <v>13054550</v>
      </c>
      <c r="C15" s="168">
        <v>3000</v>
      </c>
      <c r="D15" s="170">
        <v>13051550</v>
      </c>
      <c r="E15" s="168">
        <v>1290804550</v>
      </c>
      <c r="F15" s="168">
        <v>303000</v>
      </c>
      <c r="G15" s="168">
        <v>1290501550</v>
      </c>
      <c r="H15" s="168">
        <v>1277750000</v>
      </c>
      <c r="I15" s="168">
        <v>300000</v>
      </c>
      <c r="J15" s="168">
        <v>1277450000</v>
      </c>
      <c r="K15" t="s">
        <v>1768</v>
      </c>
      <c r="L15" t="s">
        <v>2139</v>
      </c>
    </row>
    <row r="16" spans="1:12">
      <c r="A16" s="171" t="s">
        <v>614</v>
      </c>
      <c r="B16" s="168">
        <v>2153400</v>
      </c>
      <c r="C16" s="168">
        <v>0</v>
      </c>
      <c r="D16" s="170">
        <v>2153400</v>
      </c>
      <c r="E16" s="168">
        <v>215568400</v>
      </c>
      <c r="F16" s="168">
        <v>0</v>
      </c>
      <c r="G16" s="168">
        <v>215568400</v>
      </c>
      <c r="H16" s="168">
        <v>213415000</v>
      </c>
      <c r="I16" s="168">
        <v>0</v>
      </c>
      <c r="J16" s="168">
        <v>213415000</v>
      </c>
      <c r="K16" t="s">
        <v>1763</v>
      </c>
      <c r="L16" t="s">
        <v>2133</v>
      </c>
    </row>
    <row r="17" spans="1:12">
      <c r="A17" s="171" t="s">
        <v>846</v>
      </c>
      <c r="B17" s="168">
        <v>18397200</v>
      </c>
      <c r="C17" s="168">
        <v>0</v>
      </c>
      <c r="D17" s="170">
        <v>18397200</v>
      </c>
      <c r="E17" s="168">
        <v>1820437200</v>
      </c>
      <c r="F17" s="168">
        <v>0</v>
      </c>
      <c r="G17" s="168">
        <v>1820437200</v>
      </c>
      <c r="H17" s="168">
        <v>1802040000</v>
      </c>
      <c r="I17" s="168">
        <v>0</v>
      </c>
      <c r="J17" s="168">
        <v>1802040000</v>
      </c>
      <c r="K17" t="s">
        <v>1768</v>
      </c>
      <c r="L17" t="s">
        <v>2139</v>
      </c>
    </row>
    <row r="18" spans="1:12">
      <c r="A18" s="171" t="s">
        <v>1002</v>
      </c>
      <c r="B18" s="168">
        <v>8840400</v>
      </c>
      <c r="C18" s="168">
        <v>60000</v>
      </c>
      <c r="D18" s="170">
        <v>8780400</v>
      </c>
      <c r="E18" s="168">
        <v>883500400</v>
      </c>
      <c r="F18" s="168">
        <v>6060000</v>
      </c>
      <c r="G18" s="168">
        <v>877440400</v>
      </c>
      <c r="H18" s="168">
        <v>874660000</v>
      </c>
      <c r="I18" s="168">
        <v>6000000</v>
      </c>
      <c r="J18" s="168">
        <v>868660000</v>
      </c>
      <c r="K18" t="s">
        <v>1766</v>
      </c>
      <c r="L18" t="s">
        <v>2144</v>
      </c>
    </row>
    <row r="19" spans="1:12">
      <c r="A19" s="171" t="s">
        <v>1364</v>
      </c>
      <c r="B19" s="168">
        <v>2701850</v>
      </c>
      <c r="C19" s="168">
        <v>0</v>
      </c>
      <c r="D19" s="170">
        <v>2701850</v>
      </c>
      <c r="E19" s="168">
        <v>255571850</v>
      </c>
      <c r="F19" s="168">
        <v>0</v>
      </c>
      <c r="G19" s="168">
        <v>255571850</v>
      </c>
      <c r="H19" s="168">
        <v>252870000</v>
      </c>
      <c r="I19" s="168">
        <v>0</v>
      </c>
      <c r="J19" s="168">
        <v>252870000</v>
      </c>
      <c r="K19" t="s">
        <v>1756</v>
      </c>
      <c r="L19" t="s">
        <v>2134</v>
      </c>
    </row>
    <row r="20" spans="1:12">
      <c r="A20" s="171">
        <v>15700006</v>
      </c>
      <c r="B20" s="168">
        <v>14568500</v>
      </c>
      <c r="C20" s="168">
        <v>10000</v>
      </c>
      <c r="D20" s="170">
        <v>14558500</v>
      </c>
      <c r="E20" s="168">
        <v>1427688500</v>
      </c>
      <c r="F20" s="168">
        <v>1010000</v>
      </c>
      <c r="G20" s="168">
        <v>1426678500</v>
      </c>
      <c r="H20" s="168">
        <v>1413120000</v>
      </c>
      <c r="I20" s="168">
        <v>1000000</v>
      </c>
      <c r="J20" s="168">
        <v>1412120000</v>
      </c>
      <c r="K20" t="s">
        <v>1763</v>
      </c>
      <c r="L20" t="s">
        <v>2133</v>
      </c>
    </row>
    <row r="21" spans="1:12">
      <c r="A21" s="171" t="s">
        <v>884</v>
      </c>
      <c r="B21" s="168">
        <v>25961000</v>
      </c>
      <c r="C21" s="168">
        <v>-19650</v>
      </c>
      <c r="D21" s="170">
        <v>25980650</v>
      </c>
      <c r="E21" s="168">
        <v>2595036000</v>
      </c>
      <c r="F21" s="168">
        <v>2345350</v>
      </c>
      <c r="G21" s="168">
        <v>2592690650</v>
      </c>
      <c r="H21" s="168">
        <v>2569075000</v>
      </c>
      <c r="I21" s="168">
        <v>2365000</v>
      </c>
      <c r="J21" s="168">
        <v>2566710000</v>
      </c>
      <c r="K21" t="s">
        <v>1767</v>
      </c>
      <c r="L21" t="s">
        <v>2143</v>
      </c>
    </row>
    <row r="22" spans="1:12">
      <c r="A22" s="171" t="s">
        <v>1075</v>
      </c>
      <c r="B22" s="168">
        <v>10401200</v>
      </c>
      <c r="C22" s="168">
        <v>0</v>
      </c>
      <c r="D22" s="170">
        <v>10401200</v>
      </c>
      <c r="E22" s="168">
        <v>1043851200</v>
      </c>
      <c r="F22" s="168">
        <v>0</v>
      </c>
      <c r="G22" s="168">
        <v>1043851200</v>
      </c>
      <c r="H22" s="168">
        <v>1033450000</v>
      </c>
      <c r="I22" s="168">
        <v>0</v>
      </c>
      <c r="J22" s="168">
        <v>1033450000</v>
      </c>
      <c r="K22" t="s">
        <v>1757</v>
      </c>
      <c r="L22" t="s">
        <v>2140</v>
      </c>
    </row>
    <row r="23" spans="1:12">
      <c r="A23" s="171" t="s">
        <v>765</v>
      </c>
      <c r="B23" s="168">
        <v>7422050</v>
      </c>
      <c r="C23" s="168">
        <v>0</v>
      </c>
      <c r="D23" s="170">
        <v>7422050</v>
      </c>
      <c r="E23" s="168">
        <v>747372050</v>
      </c>
      <c r="F23" s="168">
        <v>0</v>
      </c>
      <c r="G23" s="168">
        <v>747372050</v>
      </c>
      <c r="H23" s="168">
        <v>739950000</v>
      </c>
      <c r="I23" s="168">
        <v>0</v>
      </c>
      <c r="J23" s="168">
        <v>739950000</v>
      </c>
      <c r="K23" t="s">
        <v>1760</v>
      </c>
      <c r="L23" t="s">
        <v>2138</v>
      </c>
    </row>
    <row r="24" spans="1:12">
      <c r="A24" s="171" t="s">
        <v>858</v>
      </c>
      <c r="B24" s="168">
        <v>14239100</v>
      </c>
      <c r="C24" s="168">
        <v>0</v>
      </c>
      <c r="D24" s="170">
        <v>14239100</v>
      </c>
      <c r="E24" s="168">
        <v>1403359100</v>
      </c>
      <c r="F24" s="168">
        <v>0</v>
      </c>
      <c r="G24" s="168">
        <v>1403359100</v>
      </c>
      <c r="H24" s="168">
        <v>1389120000</v>
      </c>
      <c r="I24" s="168">
        <v>0</v>
      </c>
      <c r="J24" s="168">
        <v>1389120000</v>
      </c>
      <c r="K24" t="s">
        <v>2156</v>
      </c>
      <c r="L24" t="s">
        <v>2157</v>
      </c>
    </row>
    <row r="25" spans="1:12">
      <c r="A25" s="171" t="s">
        <v>1233</v>
      </c>
      <c r="B25" s="168">
        <v>649710</v>
      </c>
      <c r="C25" s="168">
        <v>-340040</v>
      </c>
      <c r="D25" s="170">
        <v>989750</v>
      </c>
      <c r="E25" s="168">
        <v>129153710</v>
      </c>
      <c r="F25" s="168">
        <v>33663960</v>
      </c>
      <c r="G25" s="168">
        <v>95489750</v>
      </c>
      <c r="H25" s="168">
        <v>128504000</v>
      </c>
      <c r="I25" s="168">
        <v>34004000</v>
      </c>
      <c r="J25" s="168">
        <v>94500000</v>
      </c>
      <c r="K25" t="s">
        <v>1762</v>
      </c>
      <c r="L25" t="s">
        <v>2142</v>
      </c>
    </row>
    <row r="26" spans="1:12">
      <c r="A26" s="171" t="s">
        <v>1082</v>
      </c>
      <c r="B26" s="168">
        <v>7498250</v>
      </c>
      <c r="C26" s="168">
        <v>0</v>
      </c>
      <c r="D26" s="170">
        <v>7498250</v>
      </c>
      <c r="E26" s="168">
        <v>747178250</v>
      </c>
      <c r="F26" s="168">
        <v>0</v>
      </c>
      <c r="G26" s="168">
        <v>747178250</v>
      </c>
      <c r="H26" s="168">
        <v>739680000</v>
      </c>
      <c r="I26" s="168">
        <v>0</v>
      </c>
      <c r="J26" s="168">
        <v>739680000</v>
      </c>
      <c r="K26" t="s">
        <v>1757</v>
      </c>
      <c r="L26" t="s">
        <v>2140</v>
      </c>
    </row>
    <row r="27" spans="1:12">
      <c r="A27" s="171">
        <v>15700001</v>
      </c>
      <c r="B27" s="168">
        <v>438050</v>
      </c>
      <c r="C27" s="168">
        <v>0</v>
      </c>
      <c r="D27" s="170">
        <v>438050</v>
      </c>
      <c r="E27" s="168">
        <v>690408050</v>
      </c>
      <c r="F27" s="168">
        <v>0</v>
      </c>
      <c r="G27" s="168">
        <v>690408050</v>
      </c>
      <c r="H27" s="168">
        <v>689970000</v>
      </c>
      <c r="I27" s="168">
        <v>0</v>
      </c>
      <c r="J27" s="168">
        <v>689970000</v>
      </c>
      <c r="K27" t="s">
        <v>1762</v>
      </c>
      <c r="L27" t="s">
        <v>2142</v>
      </c>
    </row>
    <row r="28" spans="1:12">
      <c r="A28" s="171" t="s">
        <v>1191</v>
      </c>
      <c r="B28" s="168">
        <v>477800</v>
      </c>
      <c r="C28" s="168">
        <v>0</v>
      </c>
      <c r="D28" s="170">
        <v>477800</v>
      </c>
      <c r="E28" s="168">
        <v>795657800</v>
      </c>
      <c r="F28" s="168">
        <v>0</v>
      </c>
      <c r="G28" s="168">
        <v>795657800</v>
      </c>
      <c r="H28" s="168">
        <v>795180000</v>
      </c>
      <c r="I28" s="168">
        <v>0</v>
      </c>
      <c r="J28" s="168">
        <v>795180000</v>
      </c>
      <c r="K28" t="s">
        <v>1762</v>
      </c>
      <c r="L28" t="s">
        <v>2142</v>
      </c>
    </row>
    <row r="29" spans="1:12">
      <c r="A29" s="171" t="s">
        <v>411</v>
      </c>
      <c r="B29" s="168">
        <v>14777850</v>
      </c>
      <c r="C29" s="168">
        <v>0</v>
      </c>
      <c r="D29" s="170">
        <v>14777850</v>
      </c>
      <c r="E29" s="168">
        <v>1474367850</v>
      </c>
      <c r="F29" s="168">
        <v>0</v>
      </c>
      <c r="G29" s="168">
        <v>1474367850</v>
      </c>
      <c r="H29" s="168">
        <v>1459590000</v>
      </c>
      <c r="I29" s="168">
        <v>0</v>
      </c>
      <c r="J29" s="168">
        <v>1459590000</v>
      </c>
      <c r="K29" t="s">
        <v>1764</v>
      </c>
      <c r="L29" t="s">
        <v>2145</v>
      </c>
    </row>
    <row r="30" spans="1:12">
      <c r="A30" s="171" t="s">
        <v>579</v>
      </c>
      <c r="B30" s="168">
        <v>4229150</v>
      </c>
      <c r="C30" s="168">
        <v>0</v>
      </c>
      <c r="D30" s="170">
        <v>4229150</v>
      </c>
      <c r="E30" s="168">
        <v>423059150</v>
      </c>
      <c r="F30" s="168">
        <v>0</v>
      </c>
      <c r="G30" s="168">
        <v>423059150</v>
      </c>
      <c r="H30" s="168">
        <v>418830000</v>
      </c>
      <c r="I30" s="168">
        <v>0</v>
      </c>
      <c r="J30" s="168">
        <v>418830000</v>
      </c>
      <c r="K30" t="s">
        <v>2158</v>
      </c>
      <c r="L30" t="s">
        <v>2159</v>
      </c>
    </row>
    <row r="31" spans="1:12">
      <c r="A31" s="171" t="s">
        <v>1072</v>
      </c>
      <c r="B31" s="168">
        <v>7935400</v>
      </c>
      <c r="C31" s="168">
        <v>0</v>
      </c>
      <c r="D31" s="170">
        <v>7935400</v>
      </c>
      <c r="E31" s="168">
        <v>798475400</v>
      </c>
      <c r="F31" s="168">
        <v>0</v>
      </c>
      <c r="G31" s="168">
        <v>798475400</v>
      </c>
      <c r="H31" s="168">
        <v>790540000</v>
      </c>
      <c r="I31" s="168">
        <v>0</v>
      </c>
      <c r="J31" s="168">
        <v>790540000</v>
      </c>
      <c r="K31" t="s">
        <v>2160</v>
      </c>
      <c r="L31" t="s">
        <v>2161</v>
      </c>
    </row>
    <row r="32" spans="1:12">
      <c r="A32" s="171" t="s">
        <v>608</v>
      </c>
      <c r="B32" s="168">
        <v>5465650</v>
      </c>
      <c r="C32" s="168">
        <v>0</v>
      </c>
      <c r="D32" s="170">
        <v>5465650</v>
      </c>
      <c r="E32" s="168">
        <v>533745650</v>
      </c>
      <c r="F32" s="168">
        <v>0</v>
      </c>
      <c r="G32" s="168">
        <v>533745650</v>
      </c>
      <c r="H32" s="168">
        <v>528280000</v>
      </c>
      <c r="I32" s="168">
        <v>0</v>
      </c>
      <c r="J32" s="168">
        <v>528280000</v>
      </c>
      <c r="K32" t="s">
        <v>1763</v>
      </c>
      <c r="L32" t="s">
        <v>2133</v>
      </c>
    </row>
    <row r="33" spans="1:12">
      <c r="A33" s="171">
        <v>15700023</v>
      </c>
      <c r="B33" s="168">
        <v>7300</v>
      </c>
      <c r="C33" s="168">
        <v>0</v>
      </c>
      <c r="D33" s="170">
        <v>7300</v>
      </c>
      <c r="E33" s="168">
        <v>737300</v>
      </c>
      <c r="F33" s="168">
        <v>0</v>
      </c>
      <c r="G33" s="168">
        <v>737300</v>
      </c>
      <c r="H33" s="168">
        <v>730000</v>
      </c>
      <c r="I33" s="168">
        <v>0</v>
      </c>
      <c r="J33" s="168">
        <v>730000</v>
      </c>
      <c r="K33" t="s">
        <v>1762</v>
      </c>
      <c r="L33" t="s">
        <v>2142</v>
      </c>
    </row>
    <row r="34" spans="1:12">
      <c r="A34" s="171" t="s">
        <v>518</v>
      </c>
      <c r="B34" s="168">
        <v>11648650</v>
      </c>
      <c r="C34" s="168">
        <v>0</v>
      </c>
      <c r="D34" s="170">
        <v>11648650</v>
      </c>
      <c r="E34" s="168">
        <v>1154408650</v>
      </c>
      <c r="F34" s="168">
        <v>0</v>
      </c>
      <c r="G34" s="168">
        <v>1154408650</v>
      </c>
      <c r="H34" s="168">
        <v>1142760000</v>
      </c>
      <c r="I34" s="168">
        <v>0</v>
      </c>
      <c r="J34" s="168">
        <v>1142760000</v>
      </c>
      <c r="K34" t="s">
        <v>1758</v>
      </c>
      <c r="L34" t="s">
        <v>2153</v>
      </c>
    </row>
    <row r="35" spans="1:12">
      <c r="A35" s="171" t="s">
        <v>499</v>
      </c>
      <c r="B35" s="168">
        <v>12358500</v>
      </c>
      <c r="C35" s="168">
        <v>0</v>
      </c>
      <c r="D35" s="170">
        <v>12358500</v>
      </c>
      <c r="E35" s="168">
        <v>1224568500</v>
      </c>
      <c r="F35" s="168">
        <v>0</v>
      </c>
      <c r="G35" s="168">
        <v>1224568500</v>
      </c>
      <c r="H35" s="168">
        <v>1212210000</v>
      </c>
      <c r="I35" s="168">
        <v>0</v>
      </c>
      <c r="J35" s="168">
        <v>1212210000</v>
      </c>
      <c r="K35" t="s">
        <v>1758</v>
      </c>
      <c r="L35" t="s">
        <v>2153</v>
      </c>
    </row>
    <row r="36" spans="1:12">
      <c r="A36" s="171" t="s">
        <v>984</v>
      </c>
      <c r="B36" s="168">
        <v>2835350</v>
      </c>
      <c r="C36" s="168">
        <v>0</v>
      </c>
      <c r="D36" s="170">
        <v>2835350</v>
      </c>
      <c r="E36" s="168">
        <v>281295350</v>
      </c>
      <c r="F36" s="168">
        <v>0</v>
      </c>
      <c r="G36" s="168">
        <v>281295350</v>
      </c>
      <c r="H36" s="168">
        <v>278460000</v>
      </c>
      <c r="I36" s="168">
        <v>0</v>
      </c>
      <c r="J36" s="168">
        <v>278460000</v>
      </c>
      <c r="K36" t="s">
        <v>1766</v>
      </c>
      <c r="L36" t="s">
        <v>2144</v>
      </c>
    </row>
    <row r="37" spans="1:12">
      <c r="A37" s="171" t="s">
        <v>892</v>
      </c>
      <c r="B37" s="168">
        <v>7949300</v>
      </c>
      <c r="C37" s="168">
        <v>0</v>
      </c>
      <c r="D37" s="170">
        <v>7949300</v>
      </c>
      <c r="E37" s="168">
        <v>783279300</v>
      </c>
      <c r="F37" s="168">
        <v>0</v>
      </c>
      <c r="G37" s="168">
        <v>783279300</v>
      </c>
      <c r="H37" s="168">
        <v>775330000</v>
      </c>
      <c r="I37" s="168">
        <v>0</v>
      </c>
      <c r="J37" s="168">
        <v>775330000</v>
      </c>
      <c r="K37" t="s">
        <v>1767</v>
      </c>
      <c r="L37" t="s">
        <v>2143</v>
      </c>
    </row>
    <row r="38" spans="1:12">
      <c r="A38" s="171" t="s">
        <v>1687</v>
      </c>
      <c r="B38" s="168">
        <v>2429800</v>
      </c>
      <c r="C38" s="168">
        <v>7500</v>
      </c>
      <c r="D38" s="170">
        <v>2422300</v>
      </c>
      <c r="E38" s="168">
        <v>244409800</v>
      </c>
      <c r="F38" s="168">
        <v>757500</v>
      </c>
      <c r="G38" s="168">
        <v>243652300</v>
      </c>
      <c r="H38" s="168">
        <v>241980000</v>
      </c>
      <c r="I38" s="168">
        <v>750000</v>
      </c>
      <c r="J38" s="168">
        <v>241230000</v>
      </c>
      <c r="K38" t="s">
        <v>2154</v>
      </c>
      <c r="L38" t="s">
        <v>2155</v>
      </c>
    </row>
    <row r="39" spans="1:12">
      <c r="A39" s="171" t="s">
        <v>691</v>
      </c>
      <c r="B39" s="168">
        <v>15807450</v>
      </c>
      <c r="C39" s="168">
        <v>-606900</v>
      </c>
      <c r="D39" s="170">
        <v>16414350</v>
      </c>
      <c r="E39" s="168">
        <v>2384267450</v>
      </c>
      <c r="F39" s="168">
        <v>753193100</v>
      </c>
      <c r="G39" s="168">
        <v>1631074350</v>
      </c>
      <c r="H39" s="168">
        <v>2368460000</v>
      </c>
      <c r="I39" s="168">
        <v>753800000</v>
      </c>
      <c r="J39" s="168">
        <v>1614660000</v>
      </c>
      <c r="K39" t="s">
        <v>1761</v>
      </c>
      <c r="L39" t="s">
        <v>2132</v>
      </c>
    </row>
    <row r="40" spans="1:12">
      <c r="A40" s="171" t="s">
        <v>1092</v>
      </c>
      <c r="B40" s="168">
        <v>18811750</v>
      </c>
      <c r="C40" s="168">
        <v>0</v>
      </c>
      <c r="D40" s="170">
        <v>18811750</v>
      </c>
      <c r="E40" s="168">
        <v>1876961750</v>
      </c>
      <c r="F40" s="168">
        <v>0</v>
      </c>
      <c r="G40" s="168">
        <v>1876961750</v>
      </c>
      <c r="H40" s="168">
        <v>1858150000</v>
      </c>
      <c r="I40" s="168">
        <v>0</v>
      </c>
      <c r="J40" s="168">
        <v>1858150000</v>
      </c>
      <c r="K40" t="s">
        <v>1757</v>
      </c>
      <c r="L40" t="s">
        <v>2140</v>
      </c>
    </row>
    <row r="41" spans="1:12">
      <c r="A41" s="171" t="s">
        <v>1356</v>
      </c>
      <c r="B41" s="168">
        <v>5835150</v>
      </c>
      <c r="C41" s="168">
        <v>40000</v>
      </c>
      <c r="D41" s="170">
        <v>5795150</v>
      </c>
      <c r="E41" s="168">
        <v>587535150</v>
      </c>
      <c r="F41" s="168">
        <v>4040000</v>
      </c>
      <c r="G41" s="168">
        <v>583495150</v>
      </c>
      <c r="H41" s="168">
        <v>581700000</v>
      </c>
      <c r="I41" s="168">
        <v>4000000</v>
      </c>
      <c r="J41" s="168">
        <v>577700000</v>
      </c>
      <c r="K41" t="s">
        <v>1756</v>
      </c>
      <c r="L41" t="s">
        <v>2134</v>
      </c>
    </row>
    <row r="42" spans="1:12">
      <c r="A42" s="171" t="s">
        <v>1090</v>
      </c>
      <c r="B42" s="168">
        <v>1920600</v>
      </c>
      <c r="C42" s="168">
        <v>0</v>
      </c>
      <c r="D42" s="170">
        <v>1920600</v>
      </c>
      <c r="E42" s="168">
        <v>189860600</v>
      </c>
      <c r="F42" s="168">
        <v>0</v>
      </c>
      <c r="G42" s="168">
        <v>189860600</v>
      </c>
      <c r="H42" s="168">
        <v>187940000</v>
      </c>
      <c r="I42" s="168">
        <v>0</v>
      </c>
      <c r="J42" s="168">
        <v>187940000</v>
      </c>
      <c r="K42" t="s">
        <v>1757</v>
      </c>
      <c r="L42" t="s">
        <v>2140</v>
      </c>
    </row>
    <row r="43" spans="1:12">
      <c r="A43" s="171" t="s">
        <v>828</v>
      </c>
      <c r="B43" s="168">
        <v>2214350</v>
      </c>
      <c r="C43" s="168">
        <v>0</v>
      </c>
      <c r="D43" s="170">
        <v>2214350</v>
      </c>
      <c r="E43" s="168">
        <v>185774350</v>
      </c>
      <c r="F43" s="168">
        <v>0</v>
      </c>
      <c r="G43" s="168">
        <v>185774350</v>
      </c>
      <c r="H43" s="168">
        <v>183560000</v>
      </c>
      <c r="I43" s="168">
        <v>0</v>
      </c>
      <c r="J43" s="168">
        <v>183560000</v>
      </c>
      <c r="K43" t="s">
        <v>1768</v>
      </c>
      <c r="L43" t="s">
        <v>2139</v>
      </c>
    </row>
    <row r="44" spans="1:12">
      <c r="A44" s="171" t="s">
        <v>1123</v>
      </c>
      <c r="B44" s="168">
        <v>16298050</v>
      </c>
      <c r="C44" s="168">
        <v>0</v>
      </c>
      <c r="D44" s="170">
        <v>16298050</v>
      </c>
      <c r="E44" s="168">
        <v>1623448050</v>
      </c>
      <c r="F44" s="168">
        <v>0</v>
      </c>
      <c r="G44" s="168">
        <v>1623448050</v>
      </c>
      <c r="H44" s="168">
        <v>1607150000</v>
      </c>
      <c r="I44" s="168">
        <v>0</v>
      </c>
      <c r="J44" s="168">
        <v>1607150000</v>
      </c>
      <c r="K44" t="s">
        <v>1759</v>
      </c>
      <c r="L44" t="s">
        <v>2149</v>
      </c>
    </row>
    <row r="45" spans="1:12">
      <c r="A45" s="171" t="s">
        <v>918</v>
      </c>
      <c r="B45" s="168">
        <v>2616500</v>
      </c>
      <c r="C45" s="168">
        <v>0</v>
      </c>
      <c r="D45" s="170">
        <v>2616500</v>
      </c>
      <c r="E45" s="168">
        <v>256306500</v>
      </c>
      <c r="F45" s="168">
        <v>0</v>
      </c>
      <c r="G45" s="168">
        <v>256306500</v>
      </c>
      <c r="H45" s="168">
        <v>253690000</v>
      </c>
      <c r="I45" s="168">
        <v>0</v>
      </c>
      <c r="J45" s="168">
        <v>253690000</v>
      </c>
      <c r="K45" t="s">
        <v>1767</v>
      </c>
      <c r="L45" t="s">
        <v>2143</v>
      </c>
    </row>
    <row r="46" spans="1:12">
      <c r="A46" s="171" t="s">
        <v>1220</v>
      </c>
      <c r="B46" s="168">
        <v>347850</v>
      </c>
      <c r="C46" s="168">
        <v>0</v>
      </c>
      <c r="D46" s="170">
        <v>347850</v>
      </c>
      <c r="E46" s="168">
        <v>68897850</v>
      </c>
      <c r="F46" s="168">
        <v>0</v>
      </c>
      <c r="G46" s="168">
        <v>68897850</v>
      </c>
      <c r="H46" s="168">
        <v>68550000</v>
      </c>
      <c r="I46" s="168">
        <v>0</v>
      </c>
      <c r="J46" s="168">
        <v>68550000</v>
      </c>
      <c r="K46" t="s">
        <v>1762</v>
      </c>
      <c r="L46" t="s">
        <v>2142</v>
      </c>
    </row>
    <row r="47" spans="1:12">
      <c r="A47" s="171" t="s">
        <v>754</v>
      </c>
      <c r="B47" s="168">
        <v>3872800</v>
      </c>
      <c r="C47" s="168">
        <v>0</v>
      </c>
      <c r="D47" s="170">
        <v>3872800</v>
      </c>
      <c r="E47" s="168">
        <v>381232800</v>
      </c>
      <c r="F47" s="168">
        <v>0</v>
      </c>
      <c r="G47" s="168">
        <v>381232800</v>
      </c>
      <c r="H47" s="168">
        <v>377360000</v>
      </c>
      <c r="I47" s="168">
        <v>0</v>
      </c>
      <c r="J47" s="168">
        <v>377360000</v>
      </c>
      <c r="K47" t="s">
        <v>1760</v>
      </c>
      <c r="L47" t="s">
        <v>2138</v>
      </c>
    </row>
    <row r="48" spans="1:12">
      <c r="A48" s="171" t="s">
        <v>572</v>
      </c>
      <c r="B48" s="168">
        <v>4481050</v>
      </c>
      <c r="C48" s="168">
        <v>0</v>
      </c>
      <c r="D48" s="170">
        <v>4481050</v>
      </c>
      <c r="E48" s="168">
        <v>449231050</v>
      </c>
      <c r="F48" s="168">
        <v>0</v>
      </c>
      <c r="G48" s="168">
        <v>449231050</v>
      </c>
      <c r="H48" s="168">
        <v>444750000</v>
      </c>
      <c r="I48" s="168">
        <v>0</v>
      </c>
      <c r="J48" s="168">
        <v>444750000</v>
      </c>
      <c r="K48" t="s">
        <v>2162</v>
      </c>
      <c r="L48" t="s">
        <v>2163</v>
      </c>
    </row>
    <row r="49" spans="1:12">
      <c r="A49" s="171" t="s">
        <v>941</v>
      </c>
      <c r="B49" s="168">
        <v>2044650</v>
      </c>
      <c r="C49" s="168">
        <v>0</v>
      </c>
      <c r="D49" s="170">
        <v>2044650</v>
      </c>
      <c r="E49" s="168">
        <v>194774650</v>
      </c>
      <c r="F49" s="168">
        <v>0</v>
      </c>
      <c r="G49" s="168">
        <v>194774650</v>
      </c>
      <c r="H49" s="168">
        <v>192730000</v>
      </c>
      <c r="I49" s="168">
        <v>0</v>
      </c>
      <c r="J49" s="168">
        <v>192730000</v>
      </c>
      <c r="K49" t="s">
        <v>2146</v>
      </c>
      <c r="L49" t="s">
        <v>2147</v>
      </c>
    </row>
    <row r="50" spans="1:12">
      <c r="A50" s="171">
        <v>15700008</v>
      </c>
      <c r="B50" s="168">
        <v>4085100</v>
      </c>
      <c r="C50" s="168">
        <v>1000</v>
      </c>
      <c r="D50" s="170">
        <v>4084100</v>
      </c>
      <c r="E50" s="168">
        <v>409095100</v>
      </c>
      <c r="F50" s="168">
        <v>101000</v>
      </c>
      <c r="G50" s="168">
        <v>408994100</v>
      </c>
      <c r="H50" s="168">
        <v>405010000</v>
      </c>
      <c r="I50" s="168">
        <v>100000</v>
      </c>
      <c r="J50" s="168">
        <v>404910000</v>
      </c>
      <c r="K50" t="s">
        <v>1767</v>
      </c>
      <c r="L50" t="s">
        <v>2143</v>
      </c>
    </row>
    <row r="51" spans="1:12">
      <c r="A51" s="171" t="s">
        <v>769</v>
      </c>
      <c r="B51" s="168">
        <v>7357900</v>
      </c>
      <c r="C51" s="168">
        <v>0</v>
      </c>
      <c r="D51" s="170">
        <v>7357900</v>
      </c>
      <c r="E51" s="168">
        <v>726447900</v>
      </c>
      <c r="F51" s="168">
        <v>0</v>
      </c>
      <c r="G51" s="168">
        <v>726447900</v>
      </c>
      <c r="H51" s="168">
        <v>719090000</v>
      </c>
      <c r="I51" s="168">
        <v>0</v>
      </c>
      <c r="J51" s="168">
        <v>719090000</v>
      </c>
      <c r="K51" t="s">
        <v>1760</v>
      </c>
      <c r="L51" t="s">
        <v>2138</v>
      </c>
    </row>
    <row r="52" spans="1:12">
      <c r="A52" s="171" t="s">
        <v>467</v>
      </c>
      <c r="B52" s="168">
        <v>3465750</v>
      </c>
      <c r="C52" s="168">
        <v>15000</v>
      </c>
      <c r="D52" s="170">
        <v>3450750</v>
      </c>
      <c r="E52" s="168">
        <v>334445750</v>
      </c>
      <c r="F52" s="168">
        <v>1015000</v>
      </c>
      <c r="G52" s="168">
        <v>333430750</v>
      </c>
      <c r="H52" s="168">
        <v>330980000</v>
      </c>
      <c r="I52" s="168">
        <v>1000000</v>
      </c>
      <c r="J52" s="168">
        <v>329980000</v>
      </c>
      <c r="K52" t="s">
        <v>1765</v>
      </c>
      <c r="L52" t="s">
        <v>2137</v>
      </c>
    </row>
    <row r="53" spans="1:12">
      <c r="A53" s="171" t="s">
        <v>990</v>
      </c>
      <c r="B53" s="168">
        <v>6426900</v>
      </c>
      <c r="C53" s="168">
        <v>0</v>
      </c>
      <c r="D53" s="170">
        <v>6426900</v>
      </c>
      <c r="E53" s="168">
        <v>645221900</v>
      </c>
      <c r="F53" s="168">
        <v>0</v>
      </c>
      <c r="G53" s="168">
        <v>645221900</v>
      </c>
      <c r="H53" s="168">
        <v>638795000</v>
      </c>
      <c r="I53" s="168">
        <v>0</v>
      </c>
      <c r="J53" s="168">
        <v>638795000</v>
      </c>
      <c r="K53" t="s">
        <v>1766</v>
      </c>
      <c r="L53" t="s">
        <v>2144</v>
      </c>
    </row>
    <row r="54" spans="1:12">
      <c r="A54" s="171" t="s">
        <v>1351</v>
      </c>
      <c r="B54" s="168">
        <v>4313850</v>
      </c>
      <c r="C54" s="168">
        <v>0</v>
      </c>
      <c r="D54" s="170">
        <v>4313850</v>
      </c>
      <c r="E54" s="168">
        <v>417733850</v>
      </c>
      <c r="F54" s="168">
        <v>0</v>
      </c>
      <c r="G54" s="168">
        <v>417733850</v>
      </c>
      <c r="H54" s="168">
        <v>413420000</v>
      </c>
      <c r="I54" s="168">
        <v>0</v>
      </c>
      <c r="J54" s="168">
        <v>413420000</v>
      </c>
      <c r="K54" t="s">
        <v>1756</v>
      </c>
      <c r="L54" t="s">
        <v>2134</v>
      </c>
    </row>
    <row r="55" spans="1:12">
      <c r="A55" s="171" t="s">
        <v>1116</v>
      </c>
      <c r="B55" s="168">
        <v>10902950</v>
      </c>
      <c r="C55" s="168">
        <v>0</v>
      </c>
      <c r="D55" s="170">
        <v>10902950</v>
      </c>
      <c r="E55" s="168">
        <v>1095092950</v>
      </c>
      <c r="F55" s="168">
        <v>0</v>
      </c>
      <c r="G55" s="168">
        <v>1095092950</v>
      </c>
      <c r="H55" s="168">
        <v>1084190000</v>
      </c>
      <c r="I55" s="168">
        <v>0</v>
      </c>
      <c r="J55" s="168">
        <v>1084190000</v>
      </c>
      <c r="K55" t="s">
        <v>1759</v>
      </c>
      <c r="L55" t="s">
        <v>2149</v>
      </c>
    </row>
    <row r="56" spans="1:12">
      <c r="A56" s="171" t="s">
        <v>757</v>
      </c>
      <c r="B56" s="168">
        <v>7202200</v>
      </c>
      <c r="C56" s="168">
        <v>3000</v>
      </c>
      <c r="D56" s="170">
        <v>7199200</v>
      </c>
      <c r="E56" s="168">
        <v>721512200</v>
      </c>
      <c r="F56" s="168">
        <v>303000</v>
      </c>
      <c r="G56" s="168">
        <v>721209200</v>
      </c>
      <c r="H56" s="168">
        <v>714310000</v>
      </c>
      <c r="I56" s="168">
        <v>300000</v>
      </c>
      <c r="J56" s="168">
        <v>714010000</v>
      </c>
      <c r="K56" t="s">
        <v>1760</v>
      </c>
      <c r="L56" t="s">
        <v>2138</v>
      </c>
    </row>
    <row r="57" spans="1:12">
      <c r="A57" s="171" t="s">
        <v>418</v>
      </c>
      <c r="B57" s="168">
        <v>5852300</v>
      </c>
      <c r="C57" s="168">
        <v>0</v>
      </c>
      <c r="D57" s="170">
        <v>5852300</v>
      </c>
      <c r="E57" s="168">
        <v>575982300</v>
      </c>
      <c r="F57" s="168">
        <v>0</v>
      </c>
      <c r="G57" s="168">
        <v>575982300</v>
      </c>
      <c r="H57" s="168">
        <v>570130000</v>
      </c>
      <c r="I57" s="168">
        <v>0</v>
      </c>
      <c r="J57" s="168">
        <v>570130000</v>
      </c>
      <c r="K57" t="s">
        <v>1764</v>
      </c>
      <c r="L57" t="s">
        <v>2145</v>
      </c>
    </row>
    <row r="58" spans="1:12">
      <c r="A58" s="171" t="s">
        <v>896</v>
      </c>
      <c r="B58" s="168">
        <v>8058750</v>
      </c>
      <c r="C58" s="168">
        <v>0</v>
      </c>
      <c r="D58" s="170">
        <v>8058750</v>
      </c>
      <c r="E58" s="168">
        <v>804058750</v>
      </c>
      <c r="F58" s="168">
        <v>0</v>
      </c>
      <c r="G58" s="168">
        <v>804058750</v>
      </c>
      <c r="H58" s="168">
        <v>796000000</v>
      </c>
      <c r="I58" s="168">
        <v>0</v>
      </c>
      <c r="J58" s="168">
        <v>796000000</v>
      </c>
      <c r="K58" t="s">
        <v>1767</v>
      </c>
      <c r="L58" t="s">
        <v>2143</v>
      </c>
    </row>
    <row r="59" spans="1:12">
      <c r="A59" s="171" t="s">
        <v>1086</v>
      </c>
      <c r="B59" s="168">
        <v>7256300</v>
      </c>
      <c r="C59" s="168">
        <v>1000</v>
      </c>
      <c r="D59" s="170">
        <v>7255300</v>
      </c>
      <c r="E59" s="168">
        <v>726686300</v>
      </c>
      <c r="F59" s="168">
        <v>101000</v>
      </c>
      <c r="G59" s="168">
        <v>726585300</v>
      </c>
      <c r="H59" s="168">
        <v>719430000</v>
      </c>
      <c r="I59" s="168">
        <v>100000</v>
      </c>
      <c r="J59" s="168">
        <v>719330000</v>
      </c>
      <c r="K59" t="s">
        <v>1757</v>
      </c>
      <c r="L59" t="s">
        <v>2140</v>
      </c>
    </row>
    <row r="60" spans="1:12">
      <c r="A60" s="171" t="s">
        <v>621</v>
      </c>
      <c r="B60" s="168">
        <v>10543700</v>
      </c>
      <c r="C60" s="168">
        <v>0</v>
      </c>
      <c r="D60" s="170">
        <v>10543700</v>
      </c>
      <c r="E60" s="168">
        <v>1058603700</v>
      </c>
      <c r="F60" s="168">
        <v>0</v>
      </c>
      <c r="G60" s="168">
        <v>1058603700</v>
      </c>
      <c r="H60" s="168">
        <v>1048060000</v>
      </c>
      <c r="I60" s="168">
        <v>0</v>
      </c>
      <c r="J60" s="168">
        <v>1048060000</v>
      </c>
      <c r="K60" t="s">
        <v>1763</v>
      </c>
      <c r="L60" t="s">
        <v>2133</v>
      </c>
    </row>
    <row r="61" spans="1:12">
      <c r="A61" s="171" t="s">
        <v>1149</v>
      </c>
      <c r="B61" s="168">
        <v>6442900</v>
      </c>
      <c r="C61" s="168">
        <v>0</v>
      </c>
      <c r="D61" s="170">
        <v>6442900</v>
      </c>
      <c r="E61" s="168">
        <v>635232900</v>
      </c>
      <c r="F61" s="168">
        <v>0</v>
      </c>
      <c r="G61" s="168">
        <v>635232900</v>
      </c>
      <c r="H61" s="168">
        <v>628790000</v>
      </c>
      <c r="I61" s="168">
        <v>0</v>
      </c>
      <c r="J61" s="168">
        <v>628790000</v>
      </c>
      <c r="K61" t="s">
        <v>1759</v>
      </c>
      <c r="L61" t="s">
        <v>2149</v>
      </c>
    </row>
    <row r="62" spans="1:12">
      <c r="A62" s="171" t="s">
        <v>1079</v>
      </c>
      <c r="B62" s="168">
        <v>6012300</v>
      </c>
      <c r="C62" s="168">
        <v>0</v>
      </c>
      <c r="D62" s="170">
        <v>6012300</v>
      </c>
      <c r="E62" s="168">
        <v>600102300</v>
      </c>
      <c r="F62" s="168">
        <v>0</v>
      </c>
      <c r="G62" s="168">
        <v>600102300</v>
      </c>
      <c r="H62" s="168">
        <v>594090000</v>
      </c>
      <c r="I62" s="168">
        <v>0</v>
      </c>
      <c r="J62" s="168">
        <v>594090000</v>
      </c>
      <c r="K62" t="s">
        <v>1757</v>
      </c>
      <c r="L62" t="s">
        <v>2140</v>
      </c>
    </row>
    <row r="63" spans="1:12">
      <c r="A63" s="171" t="s">
        <v>454</v>
      </c>
      <c r="B63" s="168">
        <v>5457250</v>
      </c>
      <c r="C63" s="168">
        <v>0</v>
      </c>
      <c r="D63" s="170">
        <v>5457250</v>
      </c>
      <c r="E63" s="168">
        <v>530587250</v>
      </c>
      <c r="F63" s="168">
        <v>0</v>
      </c>
      <c r="G63" s="168">
        <v>530587250</v>
      </c>
      <c r="H63" s="168">
        <v>525130000</v>
      </c>
      <c r="I63" s="168">
        <v>0</v>
      </c>
      <c r="J63" s="168">
        <v>525130000</v>
      </c>
      <c r="K63" t="s">
        <v>1765</v>
      </c>
      <c r="L63" t="s">
        <v>2137</v>
      </c>
    </row>
    <row r="64" spans="1:12">
      <c r="A64" s="171">
        <v>15700025</v>
      </c>
      <c r="B64" s="168">
        <v>725750</v>
      </c>
      <c r="C64" s="168">
        <v>0</v>
      </c>
      <c r="D64" s="170">
        <v>725750</v>
      </c>
      <c r="E64" s="168">
        <v>67425750</v>
      </c>
      <c r="F64" s="168">
        <v>0</v>
      </c>
      <c r="G64" s="168">
        <v>67425750</v>
      </c>
      <c r="H64" s="168">
        <v>66700000</v>
      </c>
      <c r="I64" s="168">
        <v>0</v>
      </c>
      <c r="J64" s="168">
        <v>66700000</v>
      </c>
      <c r="K64" t="s">
        <v>1762</v>
      </c>
      <c r="L64" t="s">
        <v>2142</v>
      </c>
    </row>
    <row r="65" spans="1:12">
      <c r="A65" s="171" t="s">
        <v>1169</v>
      </c>
      <c r="B65" s="168">
        <v>5679950</v>
      </c>
      <c r="C65" s="168">
        <v>-443800</v>
      </c>
      <c r="D65" s="170">
        <v>6123750</v>
      </c>
      <c r="E65" s="168">
        <v>862099950</v>
      </c>
      <c r="F65" s="168">
        <v>264706200</v>
      </c>
      <c r="G65" s="168">
        <v>597393750</v>
      </c>
      <c r="H65" s="168">
        <v>856420000</v>
      </c>
      <c r="I65" s="168">
        <v>265150000</v>
      </c>
      <c r="J65" s="168">
        <v>591270000</v>
      </c>
      <c r="K65" t="s">
        <v>1762</v>
      </c>
      <c r="L65" t="s">
        <v>2142</v>
      </c>
    </row>
    <row r="66" spans="1:12">
      <c r="A66" s="171" t="s">
        <v>435</v>
      </c>
      <c r="B66" s="168">
        <v>7549800</v>
      </c>
      <c r="C66" s="168">
        <v>0</v>
      </c>
      <c r="D66" s="170">
        <v>7549800</v>
      </c>
      <c r="E66" s="168">
        <v>735459800</v>
      </c>
      <c r="F66" s="168">
        <v>0</v>
      </c>
      <c r="G66" s="168">
        <v>735459800</v>
      </c>
      <c r="H66" s="168">
        <v>727910000</v>
      </c>
      <c r="I66" s="168">
        <v>0</v>
      </c>
      <c r="J66" s="168">
        <v>727910000</v>
      </c>
      <c r="K66" t="s">
        <v>1765</v>
      </c>
      <c r="L66" t="s">
        <v>2137</v>
      </c>
    </row>
    <row r="67" spans="1:12">
      <c r="A67" s="171" t="s">
        <v>820</v>
      </c>
      <c r="B67" s="168">
        <v>16848400</v>
      </c>
      <c r="C67" s="168">
        <v>0</v>
      </c>
      <c r="D67" s="170">
        <v>16848400</v>
      </c>
      <c r="E67" s="168">
        <v>1557493400</v>
      </c>
      <c r="F67" s="168">
        <v>0</v>
      </c>
      <c r="G67" s="168">
        <v>1557493400</v>
      </c>
      <c r="H67" s="168">
        <v>1540645000</v>
      </c>
      <c r="I67" s="168">
        <v>0</v>
      </c>
      <c r="J67" s="168">
        <v>1540645000</v>
      </c>
      <c r="K67" t="s">
        <v>1768</v>
      </c>
      <c r="L67" t="s">
        <v>2139</v>
      </c>
    </row>
    <row r="68" spans="1:12">
      <c r="A68" s="171" t="s">
        <v>617</v>
      </c>
      <c r="B68" s="168">
        <v>2293500</v>
      </c>
      <c r="C68" s="168">
        <v>0</v>
      </c>
      <c r="D68" s="170">
        <v>2293500</v>
      </c>
      <c r="E68" s="168">
        <v>230643500</v>
      </c>
      <c r="F68" s="168">
        <v>0</v>
      </c>
      <c r="G68" s="168">
        <v>230643500</v>
      </c>
      <c r="H68" s="168">
        <v>228350000</v>
      </c>
      <c r="I68" s="168">
        <v>0</v>
      </c>
      <c r="J68" s="168">
        <v>228350000</v>
      </c>
      <c r="K68" t="s">
        <v>1763</v>
      </c>
      <c r="L68" t="s">
        <v>2133</v>
      </c>
    </row>
    <row r="69" spans="1:12">
      <c r="A69" s="171" t="s">
        <v>1063</v>
      </c>
      <c r="B69" s="168">
        <v>3566300</v>
      </c>
      <c r="C69" s="168">
        <v>0</v>
      </c>
      <c r="D69" s="170">
        <v>3566300</v>
      </c>
      <c r="E69" s="168">
        <v>355601300</v>
      </c>
      <c r="F69" s="168">
        <v>0</v>
      </c>
      <c r="G69" s="168">
        <v>355601300</v>
      </c>
      <c r="H69" s="168">
        <v>352035000</v>
      </c>
      <c r="I69" s="168">
        <v>0</v>
      </c>
      <c r="J69" s="168">
        <v>352035000</v>
      </c>
      <c r="K69" t="s">
        <v>1757</v>
      </c>
      <c r="L69" t="s">
        <v>2140</v>
      </c>
    </row>
    <row r="70" spans="1:12">
      <c r="A70" s="171" t="s">
        <v>380</v>
      </c>
      <c r="B70" s="168">
        <v>13581900</v>
      </c>
      <c r="C70" s="168">
        <v>-257750</v>
      </c>
      <c r="D70" s="170">
        <v>13839650</v>
      </c>
      <c r="E70" s="168">
        <v>1426566900</v>
      </c>
      <c r="F70" s="168">
        <v>44497250</v>
      </c>
      <c r="G70" s="168">
        <v>1382069650</v>
      </c>
      <c r="H70" s="168">
        <v>1412985000</v>
      </c>
      <c r="I70" s="168">
        <v>44755000</v>
      </c>
      <c r="J70" s="168">
        <v>1368230000</v>
      </c>
      <c r="K70" t="s">
        <v>1764</v>
      </c>
      <c r="L70" t="s">
        <v>2145</v>
      </c>
    </row>
    <row r="71" spans="1:12">
      <c r="A71" s="171" t="s">
        <v>850</v>
      </c>
      <c r="B71" s="168">
        <v>30773700</v>
      </c>
      <c r="C71" s="168">
        <v>20700</v>
      </c>
      <c r="D71" s="170">
        <v>30753000</v>
      </c>
      <c r="E71" s="168">
        <v>3012463700</v>
      </c>
      <c r="F71" s="168">
        <v>2090700</v>
      </c>
      <c r="G71" s="168">
        <v>3010373000</v>
      </c>
      <c r="H71" s="168">
        <v>2981690000</v>
      </c>
      <c r="I71" s="168">
        <v>2070000</v>
      </c>
      <c r="J71" s="168">
        <v>2979620000</v>
      </c>
      <c r="K71" t="s">
        <v>1768</v>
      </c>
      <c r="L71" t="s">
        <v>2139</v>
      </c>
    </row>
    <row r="72" spans="1:12">
      <c r="A72" s="171" t="s">
        <v>824</v>
      </c>
      <c r="B72" s="168">
        <v>1771750</v>
      </c>
      <c r="C72" s="168">
        <v>0</v>
      </c>
      <c r="D72" s="170">
        <v>1771750</v>
      </c>
      <c r="E72" s="168">
        <v>310121750</v>
      </c>
      <c r="F72" s="168">
        <v>0</v>
      </c>
      <c r="G72" s="168">
        <v>310121750</v>
      </c>
      <c r="H72" s="168">
        <v>308350000</v>
      </c>
      <c r="I72" s="168">
        <v>0</v>
      </c>
      <c r="J72" s="168">
        <v>308350000</v>
      </c>
      <c r="K72" t="s">
        <v>1768</v>
      </c>
      <c r="L72" t="s">
        <v>2139</v>
      </c>
    </row>
    <row r="73" spans="1:12">
      <c r="A73" s="171" t="s">
        <v>472</v>
      </c>
      <c r="B73" s="168">
        <v>1948450</v>
      </c>
      <c r="C73" s="168">
        <v>0</v>
      </c>
      <c r="D73" s="170">
        <v>1948450</v>
      </c>
      <c r="E73" s="168">
        <v>194918450</v>
      </c>
      <c r="F73" s="168">
        <v>0</v>
      </c>
      <c r="G73" s="168">
        <v>194918450</v>
      </c>
      <c r="H73" s="168">
        <v>192970000</v>
      </c>
      <c r="I73" s="168">
        <v>0</v>
      </c>
      <c r="J73" s="168">
        <v>192970000</v>
      </c>
      <c r="K73" t="s">
        <v>1765</v>
      </c>
      <c r="L73" t="s">
        <v>2137</v>
      </c>
    </row>
    <row r="74" spans="1:12">
      <c r="A74" s="171" t="s">
        <v>1000</v>
      </c>
      <c r="B74" s="168">
        <v>3279250</v>
      </c>
      <c r="C74" s="168">
        <v>0</v>
      </c>
      <c r="D74" s="170">
        <v>3279250</v>
      </c>
      <c r="E74" s="168">
        <v>326179250</v>
      </c>
      <c r="F74" s="168">
        <v>0</v>
      </c>
      <c r="G74" s="168">
        <v>326179250</v>
      </c>
      <c r="H74" s="168">
        <v>322900000</v>
      </c>
      <c r="I74" s="168">
        <v>0</v>
      </c>
      <c r="J74" s="168">
        <v>322900000</v>
      </c>
      <c r="K74" t="s">
        <v>1766</v>
      </c>
      <c r="L74" t="s">
        <v>2144</v>
      </c>
    </row>
    <row r="75" spans="1:12">
      <c r="A75" s="171" t="s">
        <v>545</v>
      </c>
      <c r="B75" s="168">
        <v>3585000</v>
      </c>
      <c r="C75" s="168">
        <v>-648000</v>
      </c>
      <c r="D75" s="170">
        <v>4233000</v>
      </c>
      <c r="E75" s="168">
        <v>573205000</v>
      </c>
      <c r="F75" s="168">
        <v>156652000</v>
      </c>
      <c r="G75" s="168">
        <v>416553000</v>
      </c>
      <c r="H75" s="168">
        <v>569620000</v>
      </c>
      <c r="I75" s="168">
        <v>157300000</v>
      </c>
      <c r="J75" s="168">
        <v>412320000</v>
      </c>
      <c r="K75" t="s">
        <v>1755</v>
      </c>
      <c r="L75" t="s">
        <v>2141</v>
      </c>
    </row>
    <row r="76" spans="1:12">
      <c r="A76" s="171" t="s">
        <v>776</v>
      </c>
      <c r="B76" s="168">
        <v>6016000</v>
      </c>
      <c r="C76" s="168">
        <v>0</v>
      </c>
      <c r="D76" s="170">
        <v>6016000</v>
      </c>
      <c r="E76" s="168">
        <v>599496000</v>
      </c>
      <c r="F76" s="168">
        <v>0</v>
      </c>
      <c r="G76" s="168">
        <v>599496000</v>
      </c>
      <c r="H76" s="168">
        <v>593480000</v>
      </c>
      <c r="I76" s="168">
        <v>0</v>
      </c>
      <c r="J76" s="168">
        <v>593480000</v>
      </c>
      <c r="K76" t="s">
        <v>1760</v>
      </c>
      <c r="L76" t="s">
        <v>2138</v>
      </c>
    </row>
    <row r="77" spans="1:12">
      <c r="A77" s="171" t="s">
        <v>866</v>
      </c>
      <c r="B77" s="168">
        <v>5385000</v>
      </c>
      <c r="C77" s="168">
        <v>0</v>
      </c>
      <c r="D77" s="170">
        <v>5385000</v>
      </c>
      <c r="E77" s="168">
        <v>542635000</v>
      </c>
      <c r="F77" s="168">
        <v>0</v>
      </c>
      <c r="G77" s="168">
        <v>542635000</v>
      </c>
      <c r="H77" s="168">
        <v>537250000</v>
      </c>
      <c r="I77" s="168">
        <v>0</v>
      </c>
      <c r="J77" s="168">
        <v>537250000</v>
      </c>
      <c r="K77" t="s">
        <v>1768</v>
      </c>
      <c r="L77" t="s">
        <v>2139</v>
      </c>
    </row>
    <row r="78" spans="1:12">
      <c r="A78" s="171" t="s">
        <v>446</v>
      </c>
      <c r="B78" s="168">
        <v>12026200</v>
      </c>
      <c r="C78" s="168">
        <v>0</v>
      </c>
      <c r="D78" s="170">
        <v>12026200</v>
      </c>
      <c r="E78" s="168">
        <v>1152526200</v>
      </c>
      <c r="F78" s="168">
        <v>0</v>
      </c>
      <c r="G78" s="168">
        <v>1152526200</v>
      </c>
      <c r="H78" s="168">
        <v>1140500000</v>
      </c>
      <c r="I78" s="168">
        <v>0</v>
      </c>
      <c r="J78" s="168">
        <v>1140500000</v>
      </c>
      <c r="K78" t="s">
        <v>1765</v>
      </c>
      <c r="L78" t="s">
        <v>2137</v>
      </c>
    </row>
    <row r="79" spans="1:12">
      <c r="A79" s="171" t="s">
        <v>745</v>
      </c>
      <c r="B79" s="168">
        <v>2366100</v>
      </c>
      <c r="C79" s="168">
        <v>-136200</v>
      </c>
      <c r="D79" s="170">
        <v>2502300</v>
      </c>
      <c r="E79" s="168">
        <v>284546100</v>
      </c>
      <c r="F79" s="168">
        <v>30963800</v>
      </c>
      <c r="G79" s="168">
        <v>253582300</v>
      </c>
      <c r="H79" s="168">
        <v>282180000</v>
      </c>
      <c r="I79" s="168">
        <v>31100000</v>
      </c>
      <c r="J79" s="168">
        <v>251080000</v>
      </c>
      <c r="K79" t="s">
        <v>1770</v>
      </c>
      <c r="L79" t="s">
        <v>2148</v>
      </c>
    </row>
    <row r="80" spans="1:12">
      <c r="A80" s="171" t="s">
        <v>831</v>
      </c>
      <c r="B80" s="168">
        <v>4347300</v>
      </c>
      <c r="C80" s="168">
        <v>-1160400</v>
      </c>
      <c r="D80" s="170">
        <v>5507700</v>
      </c>
      <c r="E80" s="168">
        <v>1048472300</v>
      </c>
      <c r="F80" s="168">
        <v>505424600</v>
      </c>
      <c r="G80" s="168">
        <v>543047700</v>
      </c>
      <c r="H80" s="168">
        <v>1044125000</v>
      </c>
      <c r="I80" s="168">
        <v>506585000</v>
      </c>
      <c r="J80" s="168">
        <v>537540000</v>
      </c>
      <c r="K80" t="s">
        <v>1768</v>
      </c>
      <c r="L80" t="s">
        <v>2139</v>
      </c>
    </row>
    <row r="81" spans="1:12">
      <c r="A81" s="171" t="s">
        <v>1353</v>
      </c>
      <c r="B81" s="168">
        <v>2920950</v>
      </c>
      <c r="C81" s="168">
        <v>-19600</v>
      </c>
      <c r="D81" s="170">
        <v>2940550</v>
      </c>
      <c r="E81" s="168">
        <v>296070950</v>
      </c>
      <c r="F81" s="168">
        <v>3260400</v>
      </c>
      <c r="G81" s="168">
        <v>292810550</v>
      </c>
      <c r="H81" s="168">
        <v>293150000</v>
      </c>
      <c r="I81" s="168">
        <v>3280000</v>
      </c>
      <c r="J81" s="168">
        <v>289870000</v>
      </c>
      <c r="K81" t="s">
        <v>1756</v>
      </c>
      <c r="L81" t="s">
        <v>2134</v>
      </c>
    </row>
    <row r="82" spans="1:12">
      <c r="A82" s="171" t="s">
        <v>462</v>
      </c>
      <c r="B82" s="168">
        <v>3594800</v>
      </c>
      <c r="C82" s="168">
        <v>0</v>
      </c>
      <c r="D82" s="170">
        <v>3594800</v>
      </c>
      <c r="E82" s="168">
        <v>342924800</v>
      </c>
      <c r="F82" s="168">
        <v>0</v>
      </c>
      <c r="G82" s="168">
        <v>342924800</v>
      </c>
      <c r="H82" s="168">
        <v>339330000</v>
      </c>
      <c r="I82" s="168">
        <v>0</v>
      </c>
      <c r="J82" s="168">
        <v>339330000</v>
      </c>
      <c r="K82" t="s">
        <v>1765</v>
      </c>
      <c r="L82" t="s">
        <v>2137</v>
      </c>
    </row>
    <row r="83" spans="1:12">
      <c r="A83" s="171" t="s">
        <v>708</v>
      </c>
      <c r="B83" s="168">
        <v>26201550</v>
      </c>
      <c r="C83" s="168">
        <v>8000</v>
      </c>
      <c r="D83" s="170">
        <v>26193550</v>
      </c>
      <c r="E83" s="168">
        <v>2594111550</v>
      </c>
      <c r="F83" s="168">
        <v>808000</v>
      </c>
      <c r="G83" s="168">
        <v>2593303550</v>
      </c>
      <c r="H83" s="168">
        <v>2567910000</v>
      </c>
      <c r="I83" s="168">
        <v>800000</v>
      </c>
      <c r="J83" s="168">
        <v>2567110000</v>
      </c>
      <c r="K83" t="s">
        <v>1761</v>
      </c>
      <c r="L83" t="s">
        <v>2132</v>
      </c>
    </row>
    <row r="84" spans="1:12">
      <c r="A84" s="171" t="s">
        <v>1108</v>
      </c>
      <c r="B84" s="168">
        <v>2646550</v>
      </c>
      <c r="C84" s="168">
        <v>0</v>
      </c>
      <c r="D84" s="170">
        <v>2646550</v>
      </c>
      <c r="E84" s="168">
        <v>261946550</v>
      </c>
      <c r="F84" s="168">
        <v>0</v>
      </c>
      <c r="G84" s="168">
        <v>261946550</v>
      </c>
      <c r="H84" s="168">
        <v>259300000</v>
      </c>
      <c r="I84" s="168">
        <v>0</v>
      </c>
      <c r="J84" s="168">
        <v>259300000</v>
      </c>
      <c r="K84" t="s">
        <v>1759</v>
      </c>
      <c r="L84" t="s">
        <v>2149</v>
      </c>
    </row>
    <row r="85" spans="1:12">
      <c r="A85" s="171" t="s">
        <v>403</v>
      </c>
      <c r="B85" s="168">
        <v>73500</v>
      </c>
      <c r="C85" s="168">
        <v>0</v>
      </c>
      <c r="D85" s="170">
        <v>73500</v>
      </c>
      <c r="E85" s="168">
        <v>7423500</v>
      </c>
      <c r="F85" s="168">
        <v>0</v>
      </c>
      <c r="G85" s="168">
        <v>7423500</v>
      </c>
      <c r="H85" s="168">
        <v>7350000</v>
      </c>
      <c r="I85" s="168">
        <v>0</v>
      </c>
      <c r="J85" s="168">
        <v>7350000</v>
      </c>
      <c r="K85" t="s">
        <v>1764</v>
      </c>
      <c r="L85" t="s">
        <v>2145</v>
      </c>
    </row>
    <row r="86" spans="1:12">
      <c r="A86" s="171" t="s">
        <v>503</v>
      </c>
      <c r="B86" s="168">
        <v>11683700</v>
      </c>
      <c r="C86" s="168">
        <v>0</v>
      </c>
      <c r="D86" s="170">
        <v>11683700</v>
      </c>
      <c r="E86" s="168">
        <v>1144133700</v>
      </c>
      <c r="F86" s="168">
        <v>0</v>
      </c>
      <c r="G86" s="168">
        <v>1144133700</v>
      </c>
      <c r="H86" s="168">
        <v>1132450000</v>
      </c>
      <c r="I86" s="168">
        <v>0</v>
      </c>
      <c r="J86" s="168">
        <v>1132450000</v>
      </c>
      <c r="K86" t="s">
        <v>1758</v>
      </c>
      <c r="L86" t="s">
        <v>2153</v>
      </c>
    </row>
    <row r="87" spans="1:12">
      <c r="A87" s="171" t="s">
        <v>479</v>
      </c>
      <c r="B87" s="168">
        <v>9395950</v>
      </c>
      <c r="C87" s="168">
        <v>-18300</v>
      </c>
      <c r="D87" s="170">
        <v>9414250</v>
      </c>
      <c r="E87" s="168">
        <v>943635950</v>
      </c>
      <c r="F87" s="168">
        <v>1811700</v>
      </c>
      <c r="G87" s="168">
        <v>941824250</v>
      </c>
      <c r="H87" s="168">
        <v>934240000</v>
      </c>
      <c r="I87" s="168">
        <v>1830000</v>
      </c>
      <c r="J87" s="168">
        <v>932410000</v>
      </c>
      <c r="K87" t="s">
        <v>1758</v>
      </c>
      <c r="L87" t="s">
        <v>2153</v>
      </c>
    </row>
    <row r="88" spans="1:12">
      <c r="A88" s="171" t="s">
        <v>951</v>
      </c>
      <c r="B88" s="168">
        <v>1900</v>
      </c>
      <c r="C88" s="168">
        <v>0</v>
      </c>
      <c r="D88" s="170">
        <v>1900</v>
      </c>
      <c r="E88" s="168">
        <v>191900</v>
      </c>
      <c r="F88" s="168">
        <v>0</v>
      </c>
      <c r="G88" s="168">
        <v>191900</v>
      </c>
      <c r="H88" s="168">
        <v>190000</v>
      </c>
      <c r="I88" s="168">
        <v>0</v>
      </c>
      <c r="J88" s="168">
        <v>190000</v>
      </c>
      <c r="K88" t="s">
        <v>2151</v>
      </c>
      <c r="L88" t="s">
        <v>2152</v>
      </c>
    </row>
    <row r="89" spans="1:12">
      <c r="A89" s="171" t="s">
        <v>959</v>
      </c>
      <c r="B89" s="168">
        <v>1364450</v>
      </c>
      <c r="C89" s="168">
        <v>0</v>
      </c>
      <c r="D89" s="170">
        <v>1364450</v>
      </c>
      <c r="E89" s="168">
        <v>107234450</v>
      </c>
      <c r="F89" s="168">
        <v>0</v>
      </c>
      <c r="G89" s="168">
        <v>107234450</v>
      </c>
      <c r="H89" s="168">
        <v>105870000</v>
      </c>
      <c r="I89" s="168">
        <v>0</v>
      </c>
      <c r="J89" s="168">
        <v>105870000</v>
      </c>
      <c r="K89" t="s">
        <v>2146</v>
      </c>
      <c r="L89" t="s">
        <v>2147</v>
      </c>
    </row>
    <row r="90" spans="1:12">
      <c r="A90" s="171" t="s">
        <v>1366</v>
      </c>
      <c r="B90" s="168">
        <v>6910800</v>
      </c>
      <c r="C90" s="168">
        <v>0</v>
      </c>
      <c r="D90" s="170">
        <v>6910800</v>
      </c>
      <c r="E90" s="168">
        <v>680840800</v>
      </c>
      <c r="F90" s="168">
        <v>0</v>
      </c>
      <c r="G90" s="168">
        <v>680840800</v>
      </c>
      <c r="H90" s="168">
        <v>673930000</v>
      </c>
      <c r="I90" s="168">
        <v>0</v>
      </c>
      <c r="J90" s="168">
        <v>673930000</v>
      </c>
      <c r="K90" t="s">
        <v>1756</v>
      </c>
      <c r="L90" t="s">
        <v>2134</v>
      </c>
    </row>
    <row r="91" spans="1:12">
      <c r="A91" s="171" t="s">
        <v>555</v>
      </c>
      <c r="B91" s="168">
        <v>12575400</v>
      </c>
      <c r="C91" s="168">
        <v>0</v>
      </c>
      <c r="D91" s="170">
        <v>12575400</v>
      </c>
      <c r="E91" s="168">
        <v>1249995400</v>
      </c>
      <c r="F91" s="168">
        <v>0</v>
      </c>
      <c r="G91" s="168">
        <v>1249995400</v>
      </c>
      <c r="H91" s="168">
        <v>1237420000</v>
      </c>
      <c r="I91" s="168">
        <v>0</v>
      </c>
      <c r="J91" s="168">
        <v>1237420000</v>
      </c>
      <c r="K91" t="s">
        <v>1755</v>
      </c>
      <c r="L91" t="s">
        <v>2141</v>
      </c>
    </row>
    <row r="92" spans="1:12">
      <c r="A92" s="171" t="s">
        <v>375</v>
      </c>
      <c r="B92" s="168">
        <v>20996000</v>
      </c>
      <c r="C92" s="168">
        <v>0</v>
      </c>
      <c r="D92" s="170">
        <v>20996000</v>
      </c>
      <c r="E92" s="168">
        <v>2099286000</v>
      </c>
      <c r="F92" s="168">
        <v>0</v>
      </c>
      <c r="G92" s="168">
        <v>2099286000</v>
      </c>
      <c r="H92" s="168">
        <v>2078290000</v>
      </c>
      <c r="I92" s="168">
        <v>0</v>
      </c>
      <c r="J92" s="168">
        <v>2078290000</v>
      </c>
      <c r="K92" t="s">
        <v>1764</v>
      </c>
      <c r="L92" t="s">
        <v>2145</v>
      </c>
    </row>
    <row r="93" spans="1:12">
      <c r="A93" s="171" t="s">
        <v>730</v>
      </c>
      <c r="B93" s="168">
        <v>4469200</v>
      </c>
      <c r="C93" s="168">
        <v>8000</v>
      </c>
      <c r="D93" s="170">
        <v>4461200</v>
      </c>
      <c r="E93" s="168">
        <v>437869200</v>
      </c>
      <c r="F93" s="168">
        <v>808000</v>
      </c>
      <c r="G93" s="168">
        <v>437061200</v>
      </c>
      <c r="H93" s="168">
        <v>433400000</v>
      </c>
      <c r="I93" s="168">
        <v>800000</v>
      </c>
      <c r="J93" s="168">
        <v>432600000</v>
      </c>
      <c r="K93" t="s">
        <v>1761</v>
      </c>
      <c r="L93" t="s">
        <v>2132</v>
      </c>
    </row>
    <row r="94" spans="1:12">
      <c r="A94" s="171" t="s">
        <v>1679</v>
      </c>
      <c r="B94" s="168">
        <v>41150</v>
      </c>
      <c r="C94" s="168">
        <v>0</v>
      </c>
      <c r="D94" s="170">
        <v>41150</v>
      </c>
      <c r="E94" s="168">
        <v>12501150</v>
      </c>
      <c r="F94" s="168">
        <v>0</v>
      </c>
      <c r="G94" s="168">
        <v>12501150</v>
      </c>
      <c r="H94" s="168">
        <v>12460000</v>
      </c>
      <c r="I94" s="168">
        <v>0</v>
      </c>
      <c r="J94" s="168">
        <v>12460000</v>
      </c>
      <c r="K94" t="s">
        <v>1762</v>
      </c>
      <c r="L94" t="s">
        <v>2142</v>
      </c>
    </row>
    <row r="95" spans="1:12">
      <c r="A95" s="171" t="s">
        <v>739</v>
      </c>
      <c r="B95" s="168">
        <v>1498050</v>
      </c>
      <c r="C95" s="168">
        <v>0</v>
      </c>
      <c r="D95" s="170">
        <v>1498050</v>
      </c>
      <c r="E95" s="168">
        <v>151303050</v>
      </c>
      <c r="F95" s="168">
        <v>0</v>
      </c>
      <c r="G95" s="168">
        <v>151303050</v>
      </c>
      <c r="H95" s="168">
        <v>149805000</v>
      </c>
      <c r="I95" s="168">
        <v>0</v>
      </c>
      <c r="J95" s="168">
        <v>149805000</v>
      </c>
      <c r="K95" t="s">
        <v>1770</v>
      </c>
      <c r="L95" t="s">
        <v>2148</v>
      </c>
    </row>
    <row r="96" spans="1:12">
      <c r="A96" s="171" t="s">
        <v>1006</v>
      </c>
      <c r="B96" s="168">
        <v>20092850</v>
      </c>
      <c r="C96" s="168">
        <v>0</v>
      </c>
      <c r="D96" s="170">
        <v>20092850</v>
      </c>
      <c r="E96" s="168">
        <v>1991582850</v>
      </c>
      <c r="F96" s="168">
        <v>0</v>
      </c>
      <c r="G96" s="168">
        <v>1991582850</v>
      </c>
      <c r="H96" s="168">
        <v>1971490000</v>
      </c>
      <c r="I96" s="168">
        <v>0</v>
      </c>
      <c r="J96" s="168">
        <v>1971490000</v>
      </c>
      <c r="K96" t="s">
        <v>1766</v>
      </c>
      <c r="L96" t="s">
        <v>2144</v>
      </c>
    </row>
    <row r="97" spans="1:12">
      <c r="A97" s="171" t="s">
        <v>982</v>
      </c>
      <c r="B97" s="168">
        <v>17750000</v>
      </c>
      <c r="C97" s="168">
        <v>0</v>
      </c>
      <c r="D97" s="170">
        <v>17750000</v>
      </c>
      <c r="E97" s="168">
        <v>1737340000</v>
      </c>
      <c r="F97" s="168">
        <v>0</v>
      </c>
      <c r="G97" s="168">
        <v>1737340000</v>
      </c>
      <c r="H97" s="168">
        <v>1719590000</v>
      </c>
      <c r="I97" s="168">
        <v>0</v>
      </c>
      <c r="J97" s="168">
        <v>1719590000</v>
      </c>
      <c r="K97" t="s">
        <v>1766</v>
      </c>
      <c r="L97" t="s">
        <v>2144</v>
      </c>
    </row>
    <row r="98" spans="1:12">
      <c r="A98" s="171" t="s">
        <v>564</v>
      </c>
      <c r="B98" s="168">
        <v>2915050</v>
      </c>
      <c r="C98" s="168">
        <v>0</v>
      </c>
      <c r="D98" s="170">
        <v>2915050</v>
      </c>
      <c r="E98" s="168">
        <v>289525050</v>
      </c>
      <c r="F98" s="168">
        <v>0</v>
      </c>
      <c r="G98" s="168">
        <v>289525050</v>
      </c>
      <c r="H98" s="168">
        <v>286610000</v>
      </c>
      <c r="I98" s="168">
        <v>0</v>
      </c>
      <c r="J98" s="168">
        <v>286610000</v>
      </c>
      <c r="K98" t="s">
        <v>1755</v>
      </c>
      <c r="L98" t="s">
        <v>2141</v>
      </c>
    </row>
    <row r="99" spans="1:12">
      <c r="A99" s="171" t="s">
        <v>790</v>
      </c>
      <c r="B99" s="168">
        <v>1987850</v>
      </c>
      <c r="C99" s="168">
        <v>0</v>
      </c>
      <c r="D99" s="170">
        <v>1987850</v>
      </c>
      <c r="E99" s="168">
        <v>200717850</v>
      </c>
      <c r="F99" s="168">
        <v>0</v>
      </c>
      <c r="G99" s="168">
        <v>200717850</v>
      </c>
      <c r="H99" s="168">
        <v>198730000</v>
      </c>
      <c r="I99" s="168">
        <v>0</v>
      </c>
      <c r="J99" s="168">
        <v>198730000</v>
      </c>
      <c r="K99" t="s">
        <v>1760</v>
      </c>
      <c r="L99" t="s">
        <v>2138</v>
      </c>
    </row>
    <row r="100" spans="1:12">
      <c r="A100" s="171" t="s">
        <v>1139</v>
      </c>
      <c r="B100" s="168">
        <v>10952900</v>
      </c>
      <c r="C100" s="168">
        <v>11000</v>
      </c>
      <c r="D100" s="170">
        <v>10941900</v>
      </c>
      <c r="E100" s="168">
        <v>1103912900</v>
      </c>
      <c r="F100" s="168">
        <v>1111000</v>
      </c>
      <c r="G100" s="168">
        <v>1102801900</v>
      </c>
      <c r="H100" s="168">
        <v>1092960000</v>
      </c>
      <c r="I100" s="168">
        <v>1100000</v>
      </c>
      <c r="J100" s="168">
        <v>1091860000</v>
      </c>
      <c r="K100" t="s">
        <v>1759</v>
      </c>
      <c r="L100" t="s">
        <v>2149</v>
      </c>
    </row>
    <row r="101" spans="1:12">
      <c r="A101" s="171" t="s">
        <v>612</v>
      </c>
      <c r="B101" s="168">
        <v>9181700</v>
      </c>
      <c r="C101" s="168">
        <v>0</v>
      </c>
      <c r="D101" s="170">
        <v>9181700</v>
      </c>
      <c r="E101" s="168">
        <v>894281700</v>
      </c>
      <c r="F101" s="168">
        <v>0</v>
      </c>
      <c r="G101" s="168">
        <v>894281700</v>
      </c>
      <c r="H101" s="168">
        <v>885100000</v>
      </c>
      <c r="I101" s="168">
        <v>0</v>
      </c>
      <c r="J101" s="168">
        <v>885100000</v>
      </c>
      <c r="K101" t="s">
        <v>1763</v>
      </c>
      <c r="L101" t="s">
        <v>2133</v>
      </c>
    </row>
    <row r="102" spans="1:12">
      <c r="A102" s="171" t="s">
        <v>871</v>
      </c>
      <c r="B102" s="168">
        <v>6001900</v>
      </c>
      <c r="C102" s="168">
        <v>0</v>
      </c>
      <c r="D102" s="170">
        <v>6001900</v>
      </c>
      <c r="E102" s="168">
        <v>594081900</v>
      </c>
      <c r="F102" s="168">
        <v>0</v>
      </c>
      <c r="G102" s="168">
        <v>594081900</v>
      </c>
      <c r="H102" s="168">
        <v>588080000</v>
      </c>
      <c r="I102" s="168">
        <v>0</v>
      </c>
      <c r="J102" s="168">
        <v>588080000</v>
      </c>
      <c r="K102" t="s">
        <v>1769</v>
      </c>
      <c r="L102" t="s">
        <v>2150</v>
      </c>
    </row>
    <row r="103" spans="1:12">
      <c r="A103" s="171" t="s">
        <v>723</v>
      </c>
      <c r="B103" s="168">
        <v>14063875</v>
      </c>
      <c r="C103" s="168">
        <v>0</v>
      </c>
      <c r="D103" s="170">
        <v>14063875</v>
      </c>
      <c r="E103" s="168">
        <v>1392203875</v>
      </c>
      <c r="F103" s="168">
        <v>0</v>
      </c>
      <c r="G103" s="168">
        <v>1392203875</v>
      </c>
      <c r="H103" s="168">
        <v>1378140000</v>
      </c>
      <c r="I103" s="168">
        <v>0</v>
      </c>
      <c r="J103" s="168">
        <v>1378140000</v>
      </c>
      <c r="K103" t="s">
        <v>1761</v>
      </c>
      <c r="L103" t="s">
        <v>2132</v>
      </c>
    </row>
    <row r="104" spans="1:12">
      <c r="A104" s="171" t="s">
        <v>998</v>
      </c>
      <c r="B104" s="168">
        <v>20280650</v>
      </c>
      <c r="C104" s="168">
        <v>0</v>
      </c>
      <c r="D104" s="170">
        <v>20280650</v>
      </c>
      <c r="E104" s="168">
        <v>2002790650</v>
      </c>
      <c r="F104" s="168">
        <v>0</v>
      </c>
      <c r="G104" s="168">
        <v>2002790650</v>
      </c>
      <c r="H104" s="168">
        <v>1982510000</v>
      </c>
      <c r="I104" s="168">
        <v>0</v>
      </c>
      <c r="J104" s="168">
        <v>1982510000</v>
      </c>
      <c r="K104" t="s">
        <v>1766</v>
      </c>
      <c r="L104" t="s">
        <v>2144</v>
      </c>
    </row>
    <row r="105" spans="1:12">
      <c r="A105" s="171" t="s">
        <v>1130</v>
      </c>
      <c r="B105" s="168">
        <v>16048100</v>
      </c>
      <c r="C105" s="168">
        <v>0</v>
      </c>
      <c r="D105" s="170">
        <v>16048100</v>
      </c>
      <c r="E105" s="168">
        <v>1562498100</v>
      </c>
      <c r="F105" s="168">
        <v>0</v>
      </c>
      <c r="G105" s="168">
        <v>1562498100</v>
      </c>
      <c r="H105" s="168">
        <v>1546450000</v>
      </c>
      <c r="I105" s="168">
        <v>0</v>
      </c>
      <c r="J105" s="168">
        <v>1546450000</v>
      </c>
      <c r="K105" t="s">
        <v>1759</v>
      </c>
      <c r="L105" t="s">
        <v>2149</v>
      </c>
    </row>
    <row r="106" spans="1:12">
      <c r="A106" s="171">
        <v>15700005</v>
      </c>
      <c r="B106" s="168">
        <v>17455650</v>
      </c>
      <c r="C106" s="168">
        <v>0</v>
      </c>
      <c r="D106" s="170">
        <v>17455650</v>
      </c>
      <c r="E106" s="168">
        <v>1744085650</v>
      </c>
      <c r="F106" s="168">
        <v>0</v>
      </c>
      <c r="G106" s="168">
        <v>1744085650</v>
      </c>
      <c r="H106" s="168">
        <v>1726630000</v>
      </c>
      <c r="I106" s="168">
        <v>0</v>
      </c>
      <c r="J106" s="168">
        <v>1726630000</v>
      </c>
      <c r="K106" t="s">
        <v>1763</v>
      </c>
      <c r="L106" t="s">
        <v>2133</v>
      </c>
    </row>
    <row r="107" spans="1:12">
      <c r="A107" s="171" t="s">
        <v>1065</v>
      </c>
      <c r="B107" s="168">
        <v>15124400</v>
      </c>
      <c r="C107" s="168">
        <v>0</v>
      </c>
      <c r="D107" s="170">
        <v>15124400</v>
      </c>
      <c r="E107" s="168">
        <v>1524364400</v>
      </c>
      <c r="F107" s="168">
        <v>0</v>
      </c>
      <c r="G107" s="168">
        <v>1524364400</v>
      </c>
      <c r="H107" s="168">
        <v>1509240000</v>
      </c>
      <c r="I107" s="168">
        <v>0</v>
      </c>
      <c r="J107" s="168">
        <v>1509240000</v>
      </c>
      <c r="K107" t="s">
        <v>1757</v>
      </c>
      <c r="L107" t="s">
        <v>2140</v>
      </c>
    </row>
    <row r="108" spans="1:12">
      <c r="A108" s="171" t="s">
        <v>1069</v>
      </c>
      <c r="B108" s="168">
        <v>21016200</v>
      </c>
      <c r="C108" s="168">
        <v>0</v>
      </c>
      <c r="D108" s="170">
        <v>21016200</v>
      </c>
      <c r="E108" s="168">
        <v>2114386200</v>
      </c>
      <c r="F108" s="168">
        <v>0</v>
      </c>
      <c r="G108" s="168">
        <v>2114386200</v>
      </c>
      <c r="H108" s="168">
        <v>2093370000</v>
      </c>
      <c r="I108" s="168">
        <v>0</v>
      </c>
      <c r="J108" s="168">
        <v>2093370000</v>
      </c>
      <c r="K108" t="s">
        <v>2164</v>
      </c>
      <c r="L108" t="s">
        <v>2165</v>
      </c>
    </row>
    <row r="109" spans="1:12">
      <c r="A109" s="171" t="s">
        <v>716</v>
      </c>
      <c r="B109" s="168">
        <v>3966350</v>
      </c>
      <c r="C109" s="168">
        <v>0</v>
      </c>
      <c r="D109" s="170">
        <v>3966350</v>
      </c>
      <c r="E109" s="168">
        <v>393616350</v>
      </c>
      <c r="F109" s="168">
        <v>0</v>
      </c>
      <c r="G109" s="168">
        <v>393616350</v>
      </c>
      <c r="H109" s="168">
        <v>389650000</v>
      </c>
      <c r="I109" s="168">
        <v>0</v>
      </c>
      <c r="J109" s="168">
        <v>389650000</v>
      </c>
      <c r="K109" t="s">
        <v>1761</v>
      </c>
      <c r="L109" t="s">
        <v>2132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EDD5-C176-452F-86F8-350039B30075}">
  <dimension ref="A1:L11"/>
  <sheetViews>
    <sheetView workbookViewId="0">
      <selection activeCell="D7" sqref="D7"/>
    </sheetView>
  </sheetViews>
  <sheetFormatPr defaultRowHeight="15"/>
  <cols>
    <col min="1" max="1" width="10.140625" bestFit="1" customWidth="1"/>
    <col min="2" max="2" width="16.42578125" bestFit="1" customWidth="1"/>
    <col min="3" max="3" width="19.85546875" bestFit="1" customWidth="1"/>
    <col min="4" max="4" width="19.7109375" style="169" bestFit="1" customWidth="1"/>
    <col min="5" max="5" width="14.7109375" bestFit="1" customWidth="1"/>
    <col min="6" max="6" width="18.140625" bestFit="1" customWidth="1"/>
    <col min="7" max="7" width="18" bestFit="1" customWidth="1"/>
    <col min="8" max="8" width="15" bestFit="1" customWidth="1"/>
    <col min="9" max="9" width="18.42578125" bestFit="1" customWidth="1"/>
    <col min="10" max="10" width="18.28515625" bestFit="1" customWidth="1"/>
    <col min="11" max="11" width="14.85546875" bestFit="1" customWidth="1"/>
    <col min="12" max="12" width="28.42578125" bestFit="1" customWidth="1"/>
  </cols>
  <sheetData>
    <row r="1" spans="1:12">
      <c r="A1" t="s">
        <v>2120</v>
      </c>
      <c r="B1" t="s">
        <v>2121</v>
      </c>
      <c r="C1" t="s">
        <v>2122</v>
      </c>
      <c r="D1" s="169" t="s">
        <v>2123</v>
      </c>
      <c r="E1" t="s">
        <v>2124</v>
      </c>
      <c r="F1" t="s">
        <v>2125</v>
      </c>
      <c r="G1" t="s">
        <v>2126</v>
      </c>
      <c r="H1" t="s">
        <v>2127</v>
      </c>
      <c r="I1" t="s">
        <v>2128</v>
      </c>
      <c r="J1" t="s">
        <v>2129</v>
      </c>
      <c r="K1" t="s">
        <v>2130</v>
      </c>
      <c r="L1" t="s">
        <v>2131</v>
      </c>
    </row>
    <row r="2" spans="1:12">
      <c r="A2" t="s">
        <v>700</v>
      </c>
      <c r="B2" s="168">
        <v>110</v>
      </c>
      <c r="C2" s="168">
        <v>0</v>
      </c>
      <c r="D2" s="170">
        <v>110</v>
      </c>
      <c r="E2" s="168">
        <v>11110</v>
      </c>
      <c r="F2" s="168">
        <v>0</v>
      </c>
      <c r="G2" s="168">
        <v>11110</v>
      </c>
      <c r="H2" s="168">
        <v>11000</v>
      </c>
      <c r="I2" s="168">
        <v>0</v>
      </c>
      <c r="J2" s="168">
        <v>11000</v>
      </c>
      <c r="K2" t="s">
        <v>1761</v>
      </c>
      <c r="L2" t="s">
        <v>2132</v>
      </c>
    </row>
    <row r="3" spans="1:12">
      <c r="A3" t="s">
        <v>709</v>
      </c>
      <c r="B3" s="168">
        <v>59000</v>
      </c>
      <c r="C3" s="168">
        <v>0</v>
      </c>
      <c r="D3" s="170">
        <v>59000</v>
      </c>
      <c r="E3" s="168">
        <v>5959000</v>
      </c>
      <c r="F3" s="168">
        <v>0</v>
      </c>
      <c r="G3" s="168">
        <v>5959000</v>
      </c>
      <c r="H3" s="168">
        <v>5900000</v>
      </c>
      <c r="I3" s="168">
        <v>0</v>
      </c>
      <c r="J3" s="168">
        <v>5900000</v>
      </c>
      <c r="K3" t="s">
        <v>1761</v>
      </c>
      <c r="L3" t="s">
        <v>2132</v>
      </c>
    </row>
    <row r="4" spans="1:12">
      <c r="A4" t="s">
        <v>1230</v>
      </c>
      <c r="B4" s="168">
        <v>24610</v>
      </c>
      <c r="C4" s="168">
        <v>0</v>
      </c>
      <c r="D4" s="170">
        <v>24610</v>
      </c>
      <c r="E4" s="168">
        <v>2485610</v>
      </c>
      <c r="F4" s="168">
        <v>0</v>
      </c>
      <c r="G4" s="168">
        <v>2485610</v>
      </c>
      <c r="H4" s="168">
        <v>2461000</v>
      </c>
      <c r="I4" s="168">
        <v>0</v>
      </c>
      <c r="J4" s="168">
        <v>2461000</v>
      </c>
      <c r="K4" t="s">
        <v>1762</v>
      </c>
      <c r="L4" t="s">
        <v>2142</v>
      </c>
    </row>
    <row r="5" spans="1:12">
      <c r="A5" t="s">
        <v>482</v>
      </c>
      <c r="B5" s="168">
        <v>728110</v>
      </c>
      <c r="C5" s="168">
        <v>0</v>
      </c>
      <c r="D5" s="170">
        <v>728110</v>
      </c>
      <c r="E5" s="168">
        <v>73539110</v>
      </c>
      <c r="F5" s="168">
        <v>0</v>
      </c>
      <c r="G5" s="168">
        <v>73539110</v>
      </c>
      <c r="H5" s="168">
        <v>72811000</v>
      </c>
      <c r="I5" s="168">
        <v>0</v>
      </c>
      <c r="J5" s="168">
        <v>72811000</v>
      </c>
      <c r="K5" t="s">
        <v>1758</v>
      </c>
      <c r="L5" t="s">
        <v>2153</v>
      </c>
    </row>
    <row r="6" spans="1:12">
      <c r="A6" t="s">
        <v>954</v>
      </c>
      <c r="B6" s="168">
        <v>160</v>
      </c>
      <c r="C6" s="168">
        <v>0</v>
      </c>
      <c r="D6" s="170">
        <v>160</v>
      </c>
      <c r="E6" s="168">
        <v>16160</v>
      </c>
      <c r="F6" s="168">
        <v>0</v>
      </c>
      <c r="G6" s="168">
        <v>16160</v>
      </c>
      <c r="H6" s="168">
        <v>16000</v>
      </c>
      <c r="I6" s="168">
        <v>0</v>
      </c>
      <c r="J6" s="168">
        <v>16000</v>
      </c>
      <c r="K6" t="s">
        <v>2151</v>
      </c>
      <c r="L6" t="s">
        <v>2152</v>
      </c>
    </row>
    <row r="7" spans="1:12">
      <c r="A7" t="s">
        <v>1449</v>
      </c>
      <c r="B7" s="168">
        <v>10200</v>
      </c>
      <c r="C7" s="168">
        <v>0</v>
      </c>
      <c r="D7" s="170">
        <v>10200</v>
      </c>
      <c r="E7" s="168">
        <v>1030200</v>
      </c>
      <c r="F7" s="168">
        <v>0</v>
      </c>
      <c r="G7" s="168">
        <v>1030200</v>
      </c>
      <c r="H7" s="168">
        <v>1020000</v>
      </c>
      <c r="I7" s="168">
        <v>0</v>
      </c>
      <c r="J7" s="168">
        <v>1020000</v>
      </c>
      <c r="K7" t="s">
        <v>1756</v>
      </c>
      <c r="L7" t="s">
        <v>2134</v>
      </c>
    </row>
    <row r="8" spans="1:12">
      <c r="A8" t="s">
        <v>833</v>
      </c>
      <c r="B8" s="168">
        <v>5000</v>
      </c>
      <c r="C8" s="168">
        <v>0</v>
      </c>
      <c r="D8" s="170">
        <v>5000</v>
      </c>
      <c r="E8" s="168">
        <v>505000</v>
      </c>
      <c r="F8" s="168">
        <v>0</v>
      </c>
      <c r="G8" s="168">
        <v>505000</v>
      </c>
      <c r="H8" s="168">
        <v>500000</v>
      </c>
      <c r="I8" s="168">
        <v>0</v>
      </c>
      <c r="J8" s="168">
        <v>500000</v>
      </c>
      <c r="K8" t="s">
        <v>1768</v>
      </c>
      <c r="L8" t="s">
        <v>2139</v>
      </c>
    </row>
    <row r="9" spans="1:12">
      <c r="A9" t="s">
        <v>692</v>
      </c>
      <c r="B9" s="168">
        <v>656510</v>
      </c>
      <c r="C9" s="168">
        <v>0</v>
      </c>
      <c r="D9" s="170">
        <v>656510</v>
      </c>
      <c r="E9" s="168">
        <v>66307510</v>
      </c>
      <c r="F9" s="168">
        <v>0</v>
      </c>
      <c r="G9" s="168">
        <v>66307510</v>
      </c>
      <c r="H9" s="168">
        <v>65651000</v>
      </c>
      <c r="I9" s="168">
        <v>0</v>
      </c>
      <c r="J9" s="168">
        <v>65651000</v>
      </c>
      <c r="K9" t="s">
        <v>1761</v>
      </c>
      <c r="L9" t="s">
        <v>2132</v>
      </c>
    </row>
    <row r="10" spans="1:12">
      <c r="A10" t="s">
        <v>534</v>
      </c>
      <c r="B10" s="168">
        <v>51310</v>
      </c>
      <c r="C10" s="168">
        <v>0</v>
      </c>
      <c r="D10" s="170">
        <v>51310</v>
      </c>
      <c r="E10" s="168">
        <v>5182310</v>
      </c>
      <c r="F10" s="168">
        <v>0</v>
      </c>
      <c r="G10" s="168">
        <v>5182310</v>
      </c>
      <c r="H10" s="168">
        <v>5131000</v>
      </c>
      <c r="I10" s="168">
        <v>0</v>
      </c>
      <c r="J10" s="168">
        <v>5131000</v>
      </c>
      <c r="K10" t="s">
        <v>2154</v>
      </c>
      <c r="L10" t="s">
        <v>2155</v>
      </c>
    </row>
    <row r="11" spans="1:12">
      <c r="A11" t="s">
        <v>1168</v>
      </c>
      <c r="B11" s="168">
        <v>23700</v>
      </c>
      <c r="C11" s="168">
        <v>0</v>
      </c>
      <c r="D11" s="170">
        <v>23700</v>
      </c>
      <c r="E11" s="168">
        <v>2393700</v>
      </c>
      <c r="F11" s="168">
        <v>0</v>
      </c>
      <c r="G11" s="168">
        <v>2393700</v>
      </c>
      <c r="H11" s="168">
        <v>2370000</v>
      </c>
      <c r="I11" s="168">
        <v>0</v>
      </c>
      <c r="J11" s="168">
        <v>2370000</v>
      </c>
      <c r="K11" t="s">
        <v>1762</v>
      </c>
      <c r="L11" t="s">
        <v>2142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6BAB-5C44-425D-8248-BDAB8EE608B9}">
  <dimension ref="A1:L12"/>
  <sheetViews>
    <sheetView workbookViewId="0"/>
  </sheetViews>
  <sheetFormatPr defaultRowHeight="15"/>
  <cols>
    <col min="1" max="1" width="10.140625" bestFit="1" customWidth="1"/>
    <col min="2" max="2" width="16.5703125" bestFit="1" customWidth="1"/>
    <col min="3" max="3" width="20" bestFit="1" customWidth="1"/>
    <col min="4" max="4" width="19.85546875" style="169" bestFit="1" customWidth="1"/>
    <col min="5" max="5" width="15" bestFit="1" customWidth="1"/>
    <col min="6" max="6" width="18.28515625" bestFit="1" customWidth="1"/>
    <col min="7" max="7" width="18.140625" bestFit="1" customWidth="1"/>
    <col min="8" max="8" width="15.140625" bestFit="1" customWidth="1"/>
    <col min="9" max="9" width="18.5703125" bestFit="1" customWidth="1"/>
    <col min="10" max="10" width="18.42578125" bestFit="1" customWidth="1"/>
    <col min="11" max="11" width="14.85546875" bestFit="1" customWidth="1"/>
    <col min="12" max="12" width="28.42578125" bestFit="1" customWidth="1"/>
  </cols>
  <sheetData>
    <row r="1" spans="1:12">
      <c r="A1" t="s">
        <v>2120</v>
      </c>
      <c r="B1" t="s">
        <v>2121</v>
      </c>
      <c r="C1" t="s">
        <v>2122</v>
      </c>
      <c r="D1" s="169" t="s">
        <v>2123</v>
      </c>
      <c r="E1" t="s">
        <v>2124</v>
      </c>
      <c r="F1" t="s">
        <v>2125</v>
      </c>
      <c r="G1" t="s">
        <v>2126</v>
      </c>
      <c r="H1" t="s">
        <v>2127</v>
      </c>
      <c r="I1" t="s">
        <v>2128</v>
      </c>
      <c r="J1" t="s">
        <v>2129</v>
      </c>
      <c r="K1" t="s">
        <v>2130</v>
      </c>
      <c r="L1" t="s">
        <v>2131</v>
      </c>
    </row>
    <row r="2" spans="1:12">
      <c r="A2" t="s">
        <v>709</v>
      </c>
      <c r="B2" s="168">
        <v>41000</v>
      </c>
      <c r="C2" s="168">
        <v>0</v>
      </c>
      <c r="D2" s="170">
        <v>41000</v>
      </c>
      <c r="E2" s="168">
        <v>4141000</v>
      </c>
      <c r="F2" s="168">
        <v>0</v>
      </c>
      <c r="G2" s="168">
        <v>4141000</v>
      </c>
      <c r="H2" s="168">
        <v>4100000</v>
      </c>
      <c r="I2" s="168">
        <v>0</v>
      </c>
      <c r="J2" s="168">
        <v>4100000</v>
      </c>
      <c r="K2" t="s">
        <v>1761</v>
      </c>
      <c r="L2" t="s">
        <v>2132</v>
      </c>
    </row>
    <row r="3" spans="1:12">
      <c r="A3" t="s">
        <v>482</v>
      </c>
      <c r="B3" s="168">
        <v>262300</v>
      </c>
      <c r="C3" s="168">
        <v>0</v>
      </c>
      <c r="D3" s="170">
        <v>262300</v>
      </c>
      <c r="E3" s="168">
        <v>26492300</v>
      </c>
      <c r="F3" s="168">
        <v>0</v>
      </c>
      <c r="G3" s="168">
        <v>26492300</v>
      </c>
      <c r="H3" s="168">
        <v>26230000</v>
      </c>
      <c r="I3" s="168">
        <v>0</v>
      </c>
      <c r="J3" s="168">
        <v>26230000</v>
      </c>
      <c r="K3" t="s">
        <v>1758</v>
      </c>
      <c r="L3" t="s">
        <v>2153</v>
      </c>
    </row>
    <row r="4" spans="1:12">
      <c r="A4" t="s">
        <v>954</v>
      </c>
      <c r="B4" s="168">
        <v>1500</v>
      </c>
      <c r="C4" s="168">
        <v>0</v>
      </c>
      <c r="D4" s="170">
        <v>1500</v>
      </c>
      <c r="E4" s="168">
        <v>151500</v>
      </c>
      <c r="F4" s="168">
        <v>0</v>
      </c>
      <c r="G4" s="168">
        <v>151500</v>
      </c>
      <c r="H4" s="168">
        <v>150000</v>
      </c>
      <c r="I4" s="168">
        <v>0</v>
      </c>
      <c r="J4" s="168">
        <v>150000</v>
      </c>
      <c r="K4" t="s">
        <v>2151</v>
      </c>
      <c r="L4" t="s">
        <v>2152</v>
      </c>
    </row>
    <row r="5" spans="1:12">
      <c r="A5" t="s">
        <v>1195</v>
      </c>
      <c r="B5" s="168">
        <v>2500</v>
      </c>
      <c r="C5" s="168">
        <v>0</v>
      </c>
      <c r="D5" s="170">
        <v>2500</v>
      </c>
      <c r="E5" s="168">
        <v>252500</v>
      </c>
      <c r="F5" s="168">
        <v>0</v>
      </c>
      <c r="G5" s="168">
        <v>252500</v>
      </c>
      <c r="H5" s="168">
        <v>250000</v>
      </c>
      <c r="I5" s="168">
        <v>0</v>
      </c>
      <c r="J5" s="168">
        <v>250000</v>
      </c>
      <c r="K5" t="s">
        <v>1762</v>
      </c>
      <c r="L5" t="s">
        <v>2142</v>
      </c>
    </row>
    <row r="6" spans="1:12">
      <c r="A6" t="s">
        <v>1449</v>
      </c>
      <c r="B6" s="168">
        <v>71700</v>
      </c>
      <c r="C6" s="168">
        <v>0</v>
      </c>
      <c r="D6" s="170">
        <v>71700</v>
      </c>
      <c r="E6" s="168">
        <v>7241700</v>
      </c>
      <c r="F6" s="168">
        <v>0</v>
      </c>
      <c r="G6" s="168">
        <v>7241700</v>
      </c>
      <c r="H6" s="168">
        <v>7170000</v>
      </c>
      <c r="I6" s="168">
        <v>0</v>
      </c>
      <c r="J6" s="168">
        <v>7170000</v>
      </c>
      <c r="K6" t="s">
        <v>1756</v>
      </c>
      <c r="L6" t="s">
        <v>2134</v>
      </c>
    </row>
    <row r="7" spans="1:12">
      <c r="A7" t="s">
        <v>833</v>
      </c>
      <c r="B7" s="168">
        <v>76500</v>
      </c>
      <c r="C7" s="168">
        <v>0</v>
      </c>
      <c r="D7" s="170">
        <v>76500</v>
      </c>
      <c r="E7" s="168">
        <v>7726500</v>
      </c>
      <c r="F7" s="168">
        <v>0</v>
      </c>
      <c r="G7" s="168">
        <v>7726500</v>
      </c>
      <c r="H7" s="168">
        <v>7650000</v>
      </c>
      <c r="I7" s="168">
        <v>0</v>
      </c>
      <c r="J7" s="168">
        <v>7650000</v>
      </c>
      <c r="K7" t="s">
        <v>1768</v>
      </c>
      <c r="L7" t="s">
        <v>2139</v>
      </c>
    </row>
    <row r="8" spans="1:12">
      <c r="A8" t="s">
        <v>1214</v>
      </c>
      <c r="B8" s="168">
        <v>27500</v>
      </c>
      <c r="C8" s="168">
        <v>0</v>
      </c>
      <c r="D8" s="170">
        <v>27500</v>
      </c>
      <c r="E8" s="168">
        <v>2777500</v>
      </c>
      <c r="F8" s="168">
        <v>0</v>
      </c>
      <c r="G8" s="168">
        <v>2777500</v>
      </c>
      <c r="H8" s="168">
        <v>2750000</v>
      </c>
      <c r="I8" s="168">
        <v>0</v>
      </c>
      <c r="J8" s="168">
        <v>2750000</v>
      </c>
      <c r="K8" t="s">
        <v>1762</v>
      </c>
      <c r="L8" t="s">
        <v>2142</v>
      </c>
    </row>
    <row r="9" spans="1:12">
      <c r="A9" t="s">
        <v>448</v>
      </c>
      <c r="B9" s="168">
        <v>3000</v>
      </c>
      <c r="C9" s="168">
        <v>0</v>
      </c>
      <c r="D9" s="170">
        <v>3000</v>
      </c>
      <c r="E9" s="168">
        <v>303000</v>
      </c>
      <c r="F9" s="168">
        <v>0</v>
      </c>
      <c r="G9" s="168">
        <v>303000</v>
      </c>
      <c r="H9" s="168">
        <v>300000</v>
      </c>
      <c r="I9" s="168">
        <v>0</v>
      </c>
      <c r="J9" s="168">
        <v>300000</v>
      </c>
      <c r="K9" t="s">
        <v>1765</v>
      </c>
      <c r="L9" t="s">
        <v>2137</v>
      </c>
    </row>
    <row r="10" spans="1:12">
      <c r="A10" t="s">
        <v>692</v>
      </c>
      <c r="B10" s="168">
        <v>1275470</v>
      </c>
      <c r="C10" s="168">
        <v>0</v>
      </c>
      <c r="D10" s="170">
        <v>1275470</v>
      </c>
      <c r="E10" s="168">
        <v>128822470</v>
      </c>
      <c r="F10" s="168">
        <v>0</v>
      </c>
      <c r="G10" s="168">
        <v>128822470</v>
      </c>
      <c r="H10" s="168">
        <v>127547000</v>
      </c>
      <c r="I10" s="168">
        <v>0</v>
      </c>
      <c r="J10" s="168">
        <v>127547000</v>
      </c>
      <c r="K10" t="s">
        <v>1761</v>
      </c>
      <c r="L10" t="s">
        <v>2132</v>
      </c>
    </row>
    <row r="11" spans="1:12">
      <c r="A11" t="s">
        <v>534</v>
      </c>
      <c r="B11" s="168">
        <v>3300</v>
      </c>
      <c r="C11" s="168">
        <v>0</v>
      </c>
      <c r="D11" s="170">
        <v>3300</v>
      </c>
      <c r="E11" s="168">
        <v>333300</v>
      </c>
      <c r="F11" s="168">
        <v>0</v>
      </c>
      <c r="G11" s="168">
        <v>333300</v>
      </c>
      <c r="H11" s="168">
        <v>330000</v>
      </c>
      <c r="I11" s="168">
        <v>0</v>
      </c>
      <c r="J11" s="168">
        <v>330000</v>
      </c>
      <c r="K11" t="s">
        <v>2154</v>
      </c>
      <c r="L11" t="s">
        <v>2155</v>
      </c>
    </row>
    <row r="12" spans="1:12">
      <c r="A12" t="s">
        <v>1168</v>
      </c>
      <c r="B12" s="168">
        <v>183820</v>
      </c>
      <c r="C12" s="168">
        <v>0</v>
      </c>
      <c r="D12" s="170">
        <v>183820</v>
      </c>
      <c r="E12" s="168">
        <v>38265820</v>
      </c>
      <c r="F12" s="168">
        <v>0</v>
      </c>
      <c r="G12" s="168">
        <v>38265820</v>
      </c>
      <c r="H12" s="168">
        <v>38082000</v>
      </c>
      <c r="I12" s="168">
        <v>0</v>
      </c>
      <c r="J12" s="168">
        <v>38082000</v>
      </c>
      <c r="K12" t="s">
        <v>1762</v>
      </c>
      <c r="L12" t="s">
        <v>2142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0EB4-6D61-4E15-85C6-D9F893F8D697}">
  <dimension ref="A1:L15"/>
  <sheetViews>
    <sheetView workbookViewId="0"/>
  </sheetViews>
  <sheetFormatPr defaultRowHeight="15"/>
  <cols>
    <col min="1" max="1" width="10.140625" bestFit="1" customWidth="1"/>
    <col min="2" max="2" width="16.42578125" bestFit="1" customWidth="1"/>
    <col min="3" max="3" width="19.85546875" bestFit="1" customWidth="1"/>
    <col min="4" max="4" width="19.7109375" style="169" bestFit="1" customWidth="1"/>
    <col min="5" max="5" width="14.7109375" bestFit="1" customWidth="1"/>
    <col min="6" max="6" width="18.140625" bestFit="1" customWidth="1"/>
    <col min="7" max="7" width="18" bestFit="1" customWidth="1"/>
    <col min="8" max="8" width="15" bestFit="1" customWidth="1"/>
    <col min="9" max="9" width="18.42578125" bestFit="1" customWidth="1"/>
    <col min="10" max="10" width="18.28515625" bestFit="1" customWidth="1"/>
    <col min="11" max="11" width="14.85546875" bestFit="1" customWidth="1"/>
    <col min="12" max="12" width="29.28515625" bestFit="1" customWidth="1"/>
  </cols>
  <sheetData>
    <row r="1" spans="1:12">
      <c r="A1" t="s">
        <v>2120</v>
      </c>
      <c r="B1" t="s">
        <v>2121</v>
      </c>
      <c r="C1" t="s">
        <v>2122</v>
      </c>
      <c r="D1" s="169" t="s">
        <v>2123</v>
      </c>
      <c r="E1" t="s">
        <v>2124</v>
      </c>
      <c r="F1" t="s">
        <v>2125</v>
      </c>
      <c r="G1" t="s">
        <v>2126</v>
      </c>
      <c r="H1" t="s">
        <v>2127</v>
      </c>
      <c r="I1" t="s">
        <v>2128</v>
      </c>
      <c r="J1" t="s">
        <v>2129</v>
      </c>
      <c r="K1" t="s">
        <v>2130</v>
      </c>
      <c r="L1" t="s">
        <v>2131</v>
      </c>
    </row>
    <row r="2" spans="1:12">
      <c r="A2" t="s">
        <v>709</v>
      </c>
      <c r="B2" s="168">
        <v>110</v>
      </c>
      <c r="C2" s="168">
        <v>0</v>
      </c>
      <c r="D2" s="170">
        <v>110</v>
      </c>
      <c r="E2" s="168">
        <v>11110</v>
      </c>
      <c r="F2" s="168">
        <v>0</v>
      </c>
      <c r="G2" s="168">
        <v>11110</v>
      </c>
      <c r="H2" s="168">
        <v>11000</v>
      </c>
      <c r="I2" s="168">
        <v>0</v>
      </c>
      <c r="J2" s="168">
        <v>11000</v>
      </c>
      <c r="K2" t="s">
        <v>1761</v>
      </c>
      <c r="L2" t="s">
        <v>2132</v>
      </c>
    </row>
    <row r="3" spans="1:12">
      <c r="A3" t="s">
        <v>1230</v>
      </c>
      <c r="B3" s="168">
        <v>16500</v>
      </c>
      <c r="C3" s="168">
        <v>0</v>
      </c>
      <c r="D3" s="170">
        <v>16500</v>
      </c>
      <c r="E3" s="168">
        <v>1666500</v>
      </c>
      <c r="F3" s="168">
        <v>0</v>
      </c>
      <c r="G3" s="168">
        <v>1666500</v>
      </c>
      <c r="H3" s="168">
        <v>1650000</v>
      </c>
      <c r="I3" s="168">
        <v>0</v>
      </c>
      <c r="J3" s="168">
        <v>1650000</v>
      </c>
      <c r="K3" t="s">
        <v>1762</v>
      </c>
      <c r="L3" t="s">
        <v>2142</v>
      </c>
    </row>
    <row r="4" spans="1:12">
      <c r="A4" t="s">
        <v>482</v>
      </c>
      <c r="B4" s="168">
        <v>120000</v>
      </c>
      <c r="C4" s="168">
        <v>0</v>
      </c>
      <c r="D4" s="170">
        <v>120000</v>
      </c>
      <c r="E4" s="168">
        <v>12120000</v>
      </c>
      <c r="F4" s="168">
        <v>0</v>
      </c>
      <c r="G4" s="168">
        <v>12120000</v>
      </c>
      <c r="H4" s="168">
        <v>12000000</v>
      </c>
      <c r="I4" s="168">
        <v>0</v>
      </c>
      <c r="J4" s="168">
        <v>12000000</v>
      </c>
      <c r="K4" t="s">
        <v>1758</v>
      </c>
      <c r="L4" t="s">
        <v>2153</v>
      </c>
    </row>
    <row r="5" spans="1:12">
      <c r="A5" t="s">
        <v>954</v>
      </c>
      <c r="B5" s="168">
        <v>9180</v>
      </c>
      <c r="C5" s="168">
        <v>0</v>
      </c>
      <c r="D5" s="170">
        <v>9180</v>
      </c>
      <c r="E5" s="168">
        <v>927180</v>
      </c>
      <c r="F5" s="168">
        <v>0</v>
      </c>
      <c r="G5" s="168">
        <v>927180</v>
      </c>
      <c r="H5" s="168">
        <v>918000</v>
      </c>
      <c r="I5" s="168">
        <v>0</v>
      </c>
      <c r="J5" s="168">
        <v>918000</v>
      </c>
      <c r="K5" t="s">
        <v>2151</v>
      </c>
      <c r="L5" t="s">
        <v>2152</v>
      </c>
    </row>
    <row r="6" spans="1:12">
      <c r="A6" t="s">
        <v>1195</v>
      </c>
      <c r="B6" s="168">
        <v>3000</v>
      </c>
      <c r="C6" s="168">
        <v>0</v>
      </c>
      <c r="D6" s="170">
        <v>3000</v>
      </c>
      <c r="E6" s="168">
        <v>303000</v>
      </c>
      <c r="F6" s="168">
        <v>0</v>
      </c>
      <c r="G6" s="168">
        <v>303000</v>
      </c>
      <c r="H6" s="168">
        <v>300000</v>
      </c>
      <c r="I6" s="168">
        <v>0</v>
      </c>
      <c r="J6" s="168">
        <v>300000</v>
      </c>
      <c r="K6" t="s">
        <v>1762</v>
      </c>
      <c r="L6" t="s">
        <v>2142</v>
      </c>
    </row>
    <row r="7" spans="1:12">
      <c r="A7" t="s">
        <v>1449</v>
      </c>
      <c r="B7" s="168">
        <v>44650</v>
      </c>
      <c r="C7" s="168">
        <v>0</v>
      </c>
      <c r="D7" s="170">
        <v>44650</v>
      </c>
      <c r="E7" s="168">
        <v>4509650</v>
      </c>
      <c r="F7" s="168">
        <v>0</v>
      </c>
      <c r="G7" s="168">
        <v>4509650</v>
      </c>
      <c r="H7" s="168">
        <v>4465000</v>
      </c>
      <c r="I7" s="168">
        <v>0</v>
      </c>
      <c r="J7" s="168">
        <v>4465000</v>
      </c>
      <c r="K7" t="s">
        <v>1756</v>
      </c>
      <c r="L7" t="s">
        <v>2134</v>
      </c>
    </row>
    <row r="8" spans="1:12">
      <c r="A8" t="s">
        <v>1214</v>
      </c>
      <c r="B8" s="168">
        <v>2000</v>
      </c>
      <c r="C8" s="168">
        <v>0</v>
      </c>
      <c r="D8" s="170">
        <v>2000</v>
      </c>
      <c r="E8" s="168">
        <v>202000</v>
      </c>
      <c r="F8" s="168">
        <v>0</v>
      </c>
      <c r="G8" s="168">
        <v>202000</v>
      </c>
      <c r="H8" s="168">
        <v>200000</v>
      </c>
      <c r="I8" s="168">
        <v>0</v>
      </c>
      <c r="J8" s="168">
        <v>200000</v>
      </c>
      <c r="K8" t="s">
        <v>1762</v>
      </c>
      <c r="L8" t="s">
        <v>2142</v>
      </c>
    </row>
    <row r="9" spans="1:12">
      <c r="A9" t="s">
        <v>1319</v>
      </c>
      <c r="B9" s="168">
        <v>10</v>
      </c>
      <c r="C9" s="168">
        <v>0</v>
      </c>
      <c r="D9" s="170">
        <v>10</v>
      </c>
      <c r="E9" s="168">
        <v>1010</v>
      </c>
      <c r="F9" s="168">
        <v>0</v>
      </c>
      <c r="G9" s="168">
        <v>1010</v>
      </c>
      <c r="H9" s="168">
        <v>1000</v>
      </c>
      <c r="I9" s="168">
        <v>0</v>
      </c>
      <c r="J9" s="168">
        <v>1000</v>
      </c>
      <c r="K9" t="s">
        <v>1762</v>
      </c>
      <c r="L9" t="s">
        <v>2142</v>
      </c>
    </row>
    <row r="10" spans="1:12">
      <c r="A10" t="s">
        <v>448</v>
      </c>
      <c r="B10" s="168">
        <v>11000</v>
      </c>
      <c r="C10" s="168">
        <v>0</v>
      </c>
      <c r="D10" s="170">
        <v>11000</v>
      </c>
      <c r="E10" s="168">
        <v>1111000</v>
      </c>
      <c r="F10" s="168">
        <v>0</v>
      </c>
      <c r="G10" s="168">
        <v>1111000</v>
      </c>
      <c r="H10" s="168">
        <v>1100000</v>
      </c>
      <c r="I10" s="168">
        <v>0</v>
      </c>
      <c r="J10" s="168">
        <v>1100000</v>
      </c>
      <c r="K10" t="s">
        <v>1765</v>
      </c>
      <c r="L10" t="s">
        <v>2137</v>
      </c>
    </row>
    <row r="11" spans="1:12">
      <c r="A11" t="s">
        <v>692</v>
      </c>
      <c r="B11" s="168">
        <v>519000</v>
      </c>
      <c r="C11" s="168">
        <v>0</v>
      </c>
      <c r="D11" s="170">
        <v>519000</v>
      </c>
      <c r="E11" s="168">
        <v>52419000</v>
      </c>
      <c r="F11" s="168">
        <v>0</v>
      </c>
      <c r="G11" s="168">
        <v>52419000</v>
      </c>
      <c r="H11" s="168">
        <v>51900000</v>
      </c>
      <c r="I11" s="168">
        <v>0</v>
      </c>
      <c r="J11" s="168">
        <v>51900000</v>
      </c>
      <c r="K11" t="s">
        <v>1761</v>
      </c>
      <c r="L11" t="s">
        <v>2132</v>
      </c>
    </row>
    <row r="12" spans="1:12">
      <c r="A12" t="s">
        <v>534</v>
      </c>
      <c r="B12" s="168">
        <v>23370</v>
      </c>
      <c r="C12" s="168">
        <v>0</v>
      </c>
      <c r="D12" s="170">
        <v>23370</v>
      </c>
      <c r="E12" s="168">
        <v>2360370</v>
      </c>
      <c r="F12" s="168">
        <v>0</v>
      </c>
      <c r="G12" s="168">
        <v>2360370</v>
      </c>
      <c r="H12" s="168">
        <v>2337000</v>
      </c>
      <c r="I12" s="168">
        <v>0</v>
      </c>
      <c r="J12" s="168">
        <v>2337000</v>
      </c>
      <c r="K12" t="s">
        <v>2154</v>
      </c>
      <c r="L12" t="s">
        <v>2155</v>
      </c>
    </row>
    <row r="13" spans="1:12">
      <c r="A13" t="s">
        <v>1265</v>
      </c>
      <c r="B13" s="168">
        <v>56600</v>
      </c>
      <c r="C13" s="168">
        <v>0</v>
      </c>
      <c r="D13" s="170">
        <v>56600</v>
      </c>
      <c r="E13" s="168">
        <v>5716600</v>
      </c>
      <c r="F13" s="168">
        <v>0</v>
      </c>
      <c r="G13" s="168">
        <v>5716600</v>
      </c>
      <c r="H13" s="168">
        <v>5660000</v>
      </c>
      <c r="I13" s="168">
        <v>0</v>
      </c>
      <c r="J13" s="168">
        <v>5660000</v>
      </c>
      <c r="K13" t="s">
        <v>2135</v>
      </c>
      <c r="L13" t="s">
        <v>2136</v>
      </c>
    </row>
    <row r="14" spans="1:12">
      <c r="A14" t="s">
        <v>1168</v>
      </c>
      <c r="B14" s="168">
        <v>80600</v>
      </c>
      <c r="C14" s="168">
        <v>0</v>
      </c>
      <c r="D14" s="170">
        <v>80600</v>
      </c>
      <c r="E14" s="168">
        <v>12640600</v>
      </c>
      <c r="F14" s="168">
        <v>0</v>
      </c>
      <c r="G14" s="168">
        <v>12640600</v>
      </c>
      <c r="H14" s="168">
        <v>12560000</v>
      </c>
      <c r="I14" s="168">
        <v>0</v>
      </c>
      <c r="J14" s="168">
        <v>12560000</v>
      </c>
      <c r="K14" t="s">
        <v>1762</v>
      </c>
      <c r="L14" t="s">
        <v>2142</v>
      </c>
    </row>
    <row r="15" spans="1:12">
      <c r="A15" t="s">
        <v>456</v>
      </c>
      <c r="B15" s="168">
        <v>220800</v>
      </c>
      <c r="C15" s="168">
        <v>0</v>
      </c>
      <c r="D15" s="170">
        <v>220800</v>
      </c>
      <c r="E15" s="168">
        <v>22300800</v>
      </c>
      <c r="F15" s="168">
        <v>0</v>
      </c>
      <c r="G15" s="168">
        <v>22300800</v>
      </c>
      <c r="H15" s="168">
        <v>22080000</v>
      </c>
      <c r="I15" s="168">
        <v>0</v>
      </c>
      <c r="J15" s="168">
        <v>22080000</v>
      </c>
      <c r="K15" t="s">
        <v>1765</v>
      </c>
      <c r="L15" t="s">
        <v>2137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87C4-1F94-479B-9216-5E2ADDE7B579}">
  <dimension ref="A1:L18"/>
  <sheetViews>
    <sheetView workbookViewId="0"/>
  </sheetViews>
  <sheetFormatPr defaultRowHeight="15"/>
  <cols>
    <col min="1" max="1" width="10.140625" bestFit="1" customWidth="1"/>
    <col min="2" max="2" width="16.42578125" bestFit="1" customWidth="1"/>
    <col min="3" max="3" width="19.85546875" bestFit="1" customWidth="1"/>
    <col min="4" max="4" width="19.7109375" style="169" bestFit="1" customWidth="1"/>
    <col min="5" max="5" width="14.7109375" bestFit="1" customWidth="1"/>
    <col min="6" max="6" width="18.140625" bestFit="1" customWidth="1"/>
    <col min="7" max="7" width="18" bestFit="1" customWidth="1"/>
    <col min="8" max="8" width="15" bestFit="1" customWidth="1"/>
    <col min="9" max="9" width="18.42578125" bestFit="1" customWidth="1"/>
    <col min="10" max="10" width="18.28515625" bestFit="1" customWidth="1"/>
    <col min="11" max="11" width="14.85546875" bestFit="1" customWidth="1"/>
    <col min="12" max="12" width="29.28515625" bestFit="1" customWidth="1"/>
  </cols>
  <sheetData>
    <row r="1" spans="1:12">
      <c r="A1" t="s">
        <v>2120</v>
      </c>
      <c r="B1" t="s">
        <v>2121</v>
      </c>
      <c r="C1" t="s">
        <v>2122</v>
      </c>
      <c r="D1" s="169" t="s">
        <v>2123</v>
      </c>
      <c r="E1" t="s">
        <v>2124</v>
      </c>
      <c r="F1" t="s">
        <v>2125</v>
      </c>
      <c r="G1" t="s">
        <v>2126</v>
      </c>
      <c r="H1" t="s">
        <v>2127</v>
      </c>
      <c r="I1" t="s">
        <v>2128</v>
      </c>
      <c r="J1" t="s">
        <v>2129</v>
      </c>
      <c r="K1" t="s">
        <v>2130</v>
      </c>
      <c r="L1" t="s">
        <v>2131</v>
      </c>
    </row>
    <row r="2" spans="1:12">
      <c r="A2" t="s">
        <v>1370</v>
      </c>
      <c r="B2" s="168">
        <v>13950</v>
      </c>
      <c r="C2" s="168">
        <v>0</v>
      </c>
      <c r="D2" s="170">
        <v>13950</v>
      </c>
      <c r="E2" s="168">
        <v>1408950</v>
      </c>
      <c r="F2" s="168">
        <v>0</v>
      </c>
      <c r="G2" s="168">
        <v>1408950</v>
      </c>
      <c r="H2" s="168">
        <v>1395000</v>
      </c>
      <c r="I2" s="168">
        <v>0</v>
      </c>
      <c r="J2" s="168">
        <v>1395000</v>
      </c>
      <c r="K2" t="s">
        <v>1756</v>
      </c>
      <c r="L2" t="s">
        <v>2134</v>
      </c>
    </row>
    <row r="3" spans="1:12">
      <c r="A3" t="s">
        <v>700</v>
      </c>
      <c r="B3" s="168">
        <v>137300</v>
      </c>
      <c r="C3" s="168">
        <v>0</v>
      </c>
      <c r="D3" s="170">
        <v>137300</v>
      </c>
      <c r="E3" s="168">
        <v>13867300</v>
      </c>
      <c r="F3" s="168">
        <v>0</v>
      </c>
      <c r="G3" s="168">
        <v>13867300</v>
      </c>
      <c r="H3" s="168">
        <v>13730000</v>
      </c>
      <c r="I3" s="168">
        <v>0</v>
      </c>
      <c r="J3" s="168">
        <v>13730000</v>
      </c>
      <c r="K3" t="s">
        <v>1761</v>
      </c>
      <c r="L3" t="s">
        <v>2132</v>
      </c>
    </row>
    <row r="4" spans="1:12">
      <c r="A4" t="s">
        <v>1230</v>
      </c>
      <c r="B4" s="168">
        <v>8150</v>
      </c>
      <c r="C4" s="168">
        <v>0</v>
      </c>
      <c r="D4" s="170">
        <v>8150</v>
      </c>
      <c r="E4" s="168">
        <v>823150</v>
      </c>
      <c r="F4" s="168">
        <v>0</v>
      </c>
      <c r="G4" s="168">
        <v>823150</v>
      </c>
      <c r="H4" s="168">
        <v>815000</v>
      </c>
      <c r="I4" s="168">
        <v>0</v>
      </c>
      <c r="J4" s="168">
        <v>815000</v>
      </c>
      <c r="K4" t="s">
        <v>1762</v>
      </c>
      <c r="L4" t="s">
        <v>2142</v>
      </c>
    </row>
    <row r="5" spans="1:12">
      <c r="A5" t="s">
        <v>482</v>
      </c>
      <c r="B5" s="168">
        <v>164550</v>
      </c>
      <c r="C5" s="168">
        <v>0</v>
      </c>
      <c r="D5" s="170">
        <v>164550</v>
      </c>
      <c r="E5" s="168">
        <v>16619550</v>
      </c>
      <c r="F5" s="168">
        <v>0</v>
      </c>
      <c r="G5" s="168">
        <v>16619550</v>
      </c>
      <c r="H5" s="168">
        <v>16455000</v>
      </c>
      <c r="I5" s="168">
        <v>0</v>
      </c>
      <c r="J5" s="168">
        <v>16455000</v>
      </c>
      <c r="K5" t="s">
        <v>1758</v>
      </c>
      <c r="L5" t="s">
        <v>2153</v>
      </c>
    </row>
    <row r="6" spans="1:12">
      <c r="A6" t="s">
        <v>533</v>
      </c>
      <c r="B6" s="168">
        <v>1950</v>
      </c>
      <c r="C6" s="168">
        <v>0</v>
      </c>
      <c r="D6" s="170">
        <v>1950</v>
      </c>
      <c r="E6" s="168">
        <v>196950</v>
      </c>
      <c r="F6" s="168">
        <v>0</v>
      </c>
      <c r="G6" s="168">
        <v>196950</v>
      </c>
      <c r="H6" s="168">
        <v>195000</v>
      </c>
      <c r="I6" s="168">
        <v>0</v>
      </c>
      <c r="J6" s="168">
        <v>195000</v>
      </c>
      <c r="K6" t="s">
        <v>2154</v>
      </c>
      <c r="L6" t="s">
        <v>2155</v>
      </c>
    </row>
    <row r="7" spans="1:12">
      <c r="A7" t="s">
        <v>1449</v>
      </c>
      <c r="B7" s="168">
        <v>37750</v>
      </c>
      <c r="C7" s="168">
        <v>0</v>
      </c>
      <c r="D7" s="170">
        <v>37750</v>
      </c>
      <c r="E7" s="168">
        <v>3812750</v>
      </c>
      <c r="F7" s="168">
        <v>0</v>
      </c>
      <c r="G7" s="168">
        <v>3812750</v>
      </c>
      <c r="H7" s="168">
        <v>3775000</v>
      </c>
      <c r="I7" s="168">
        <v>0</v>
      </c>
      <c r="J7" s="168">
        <v>3775000</v>
      </c>
      <c r="K7" t="s">
        <v>1756</v>
      </c>
      <c r="L7" t="s">
        <v>2134</v>
      </c>
    </row>
    <row r="8" spans="1:12">
      <c r="A8" t="s">
        <v>833</v>
      </c>
      <c r="B8" s="168">
        <v>1000</v>
      </c>
      <c r="C8" s="168">
        <v>0</v>
      </c>
      <c r="D8" s="170">
        <v>1000</v>
      </c>
      <c r="E8" s="168">
        <v>101000</v>
      </c>
      <c r="F8" s="168">
        <v>0</v>
      </c>
      <c r="G8" s="168">
        <v>101000</v>
      </c>
      <c r="H8" s="168">
        <v>100000</v>
      </c>
      <c r="I8" s="168">
        <v>0</v>
      </c>
      <c r="J8" s="168">
        <v>100000</v>
      </c>
      <c r="K8" t="s">
        <v>1768</v>
      </c>
      <c r="L8" t="s">
        <v>2139</v>
      </c>
    </row>
    <row r="9" spans="1:12">
      <c r="A9" t="s">
        <v>1214</v>
      </c>
      <c r="B9" s="168">
        <v>1150</v>
      </c>
      <c r="C9" s="168">
        <v>0</v>
      </c>
      <c r="D9" s="170">
        <v>1150</v>
      </c>
      <c r="E9" s="168">
        <v>116150</v>
      </c>
      <c r="F9" s="168">
        <v>0</v>
      </c>
      <c r="G9" s="168">
        <v>116150</v>
      </c>
      <c r="H9" s="168">
        <v>115000</v>
      </c>
      <c r="I9" s="168">
        <v>0</v>
      </c>
      <c r="J9" s="168">
        <v>115000</v>
      </c>
      <c r="K9" t="s">
        <v>1762</v>
      </c>
      <c r="L9" t="s">
        <v>2142</v>
      </c>
    </row>
    <row r="10" spans="1:12">
      <c r="A10" t="s">
        <v>1319</v>
      </c>
      <c r="B10" s="168">
        <v>900</v>
      </c>
      <c r="C10" s="168">
        <v>0</v>
      </c>
      <c r="D10" s="170">
        <v>900</v>
      </c>
      <c r="E10" s="168">
        <v>90900</v>
      </c>
      <c r="F10" s="168">
        <v>0</v>
      </c>
      <c r="G10" s="168">
        <v>90900</v>
      </c>
      <c r="H10" s="168">
        <v>90000</v>
      </c>
      <c r="I10" s="168">
        <v>0</v>
      </c>
      <c r="J10" s="168">
        <v>90000</v>
      </c>
      <c r="K10" t="s">
        <v>1762</v>
      </c>
      <c r="L10" t="s">
        <v>2142</v>
      </c>
    </row>
    <row r="11" spans="1:12">
      <c r="A11" t="s">
        <v>448</v>
      </c>
      <c r="B11" s="168">
        <v>11570</v>
      </c>
      <c r="C11" s="168">
        <v>0</v>
      </c>
      <c r="D11" s="170">
        <v>11570</v>
      </c>
      <c r="E11" s="168">
        <v>1168570</v>
      </c>
      <c r="F11" s="168">
        <v>0</v>
      </c>
      <c r="G11" s="168">
        <v>1168570</v>
      </c>
      <c r="H11" s="168">
        <v>1157000</v>
      </c>
      <c r="I11" s="168">
        <v>0</v>
      </c>
      <c r="J11" s="168">
        <v>1157000</v>
      </c>
      <c r="K11" t="s">
        <v>1765</v>
      </c>
      <c r="L11" t="s">
        <v>2137</v>
      </c>
    </row>
    <row r="12" spans="1:12">
      <c r="A12" t="s">
        <v>692</v>
      </c>
      <c r="B12" s="168">
        <v>749850</v>
      </c>
      <c r="C12" s="168">
        <v>0</v>
      </c>
      <c r="D12" s="170">
        <v>749850</v>
      </c>
      <c r="E12" s="168">
        <v>75734850</v>
      </c>
      <c r="F12" s="168">
        <v>0</v>
      </c>
      <c r="G12" s="168">
        <v>75734850</v>
      </c>
      <c r="H12" s="168">
        <v>74985000</v>
      </c>
      <c r="I12" s="168">
        <v>0</v>
      </c>
      <c r="J12" s="168">
        <v>74985000</v>
      </c>
      <c r="K12" t="s">
        <v>1761</v>
      </c>
      <c r="L12" t="s">
        <v>2132</v>
      </c>
    </row>
    <row r="13" spans="1:12">
      <c r="A13" t="s">
        <v>610</v>
      </c>
      <c r="B13" s="168">
        <v>600</v>
      </c>
      <c r="C13" s="168">
        <v>0</v>
      </c>
      <c r="D13" s="170">
        <v>600</v>
      </c>
      <c r="E13" s="168">
        <v>60600</v>
      </c>
      <c r="F13" s="168">
        <v>0</v>
      </c>
      <c r="G13" s="168">
        <v>60600</v>
      </c>
      <c r="H13" s="168">
        <v>60000</v>
      </c>
      <c r="I13" s="168">
        <v>0</v>
      </c>
      <c r="J13" s="168">
        <v>60000</v>
      </c>
      <c r="K13" t="s">
        <v>1763</v>
      </c>
      <c r="L13" t="s">
        <v>2133</v>
      </c>
    </row>
    <row r="14" spans="1:12">
      <c r="A14" t="s">
        <v>1265</v>
      </c>
      <c r="B14" s="168">
        <v>34700</v>
      </c>
      <c r="C14" s="168">
        <v>0</v>
      </c>
      <c r="D14" s="170">
        <v>34700</v>
      </c>
      <c r="E14" s="168">
        <v>3504700</v>
      </c>
      <c r="F14" s="168">
        <v>0</v>
      </c>
      <c r="G14" s="168">
        <v>3504700</v>
      </c>
      <c r="H14" s="168">
        <v>3470000</v>
      </c>
      <c r="I14" s="168">
        <v>0</v>
      </c>
      <c r="J14" s="168">
        <v>3470000</v>
      </c>
      <c r="K14" t="s">
        <v>2135</v>
      </c>
      <c r="L14" t="s">
        <v>2136</v>
      </c>
    </row>
    <row r="15" spans="1:12">
      <c r="A15" t="s">
        <v>534</v>
      </c>
      <c r="B15" s="168">
        <v>12840</v>
      </c>
      <c r="C15" s="168">
        <v>0</v>
      </c>
      <c r="D15" s="170">
        <v>12840</v>
      </c>
      <c r="E15" s="168">
        <v>1296840</v>
      </c>
      <c r="F15" s="168">
        <v>0</v>
      </c>
      <c r="G15" s="168">
        <v>1296840</v>
      </c>
      <c r="H15" s="168">
        <v>1284000</v>
      </c>
      <c r="I15" s="168">
        <v>0</v>
      </c>
      <c r="J15" s="168">
        <v>1284000</v>
      </c>
      <c r="K15" t="s">
        <v>2154</v>
      </c>
      <c r="L15" t="s">
        <v>2155</v>
      </c>
    </row>
    <row r="16" spans="1:12">
      <c r="A16" t="s">
        <v>547</v>
      </c>
      <c r="B16" s="168">
        <v>129400</v>
      </c>
      <c r="C16" s="168">
        <v>0</v>
      </c>
      <c r="D16" s="170">
        <v>129400</v>
      </c>
      <c r="E16" s="168">
        <v>13069400</v>
      </c>
      <c r="F16" s="168">
        <v>0</v>
      </c>
      <c r="G16" s="168">
        <v>13069400</v>
      </c>
      <c r="H16" s="168">
        <v>12940000</v>
      </c>
      <c r="I16" s="168">
        <v>0</v>
      </c>
      <c r="J16" s="168">
        <v>12940000</v>
      </c>
      <c r="K16" t="s">
        <v>1755</v>
      </c>
      <c r="L16" t="s">
        <v>2141</v>
      </c>
    </row>
    <row r="17" spans="1:12">
      <c r="A17" t="s">
        <v>1168</v>
      </c>
      <c r="B17" s="168">
        <v>154330</v>
      </c>
      <c r="C17" s="168">
        <v>0</v>
      </c>
      <c r="D17" s="170">
        <v>154330</v>
      </c>
      <c r="E17" s="168">
        <v>32587330</v>
      </c>
      <c r="F17" s="168">
        <v>0</v>
      </c>
      <c r="G17" s="168">
        <v>32587330</v>
      </c>
      <c r="H17" s="168">
        <v>32433000</v>
      </c>
      <c r="I17" s="168">
        <v>0</v>
      </c>
      <c r="J17" s="168">
        <v>32433000</v>
      </c>
      <c r="K17" t="s">
        <v>1762</v>
      </c>
      <c r="L17" t="s">
        <v>2142</v>
      </c>
    </row>
    <row r="18" spans="1:12">
      <c r="A18" t="s">
        <v>456</v>
      </c>
      <c r="B18" s="168">
        <v>53690</v>
      </c>
      <c r="C18" s="168">
        <v>0</v>
      </c>
      <c r="D18" s="170">
        <v>53690</v>
      </c>
      <c r="E18" s="168">
        <v>5422690</v>
      </c>
      <c r="F18" s="168">
        <v>0</v>
      </c>
      <c r="G18" s="168">
        <v>5422690</v>
      </c>
      <c r="H18" s="168">
        <v>5369000</v>
      </c>
      <c r="I18" s="168">
        <v>0</v>
      </c>
      <c r="J18" s="168">
        <v>5369000</v>
      </c>
      <c r="K18" t="s">
        <v>1765</v>
      </c>
      <c r="L18" t="s">
        <v>2137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01E4-8743-4E49-B8D5-BD1061B2440E}">
  <dimension ref="A1:L19"/>
  <sheetViews>
    <sheetView workbookViewId="0"/>
  </sheetViews>
  <sheetFormatPr defaultRowHeight="15"/>
  <cols>
    <col min="1" max="1" width="10.140625" bestFit="1" customWidth="1"/>
    <col min="2" max="2" width="16.5703125" bestFit="1" customWidth="1"/>
    <col min="3" max="3" width="20" bestFit="1" customWidth="1"/>
    <col min="4" max="4" width="19.85546875" style="169" bestFit="1" customWidth="1"/>
    <col min="5" max="5" width="15" bestFit="1" customWidth="1"/>
    <col min="6" max="6" width="18.28515625" bestFit="1" customWidth="1"/>
    <col min="7" max="7" width="18.140625" bestFit="1" customWidth="1"/>
    <col min="8" max="8" width="15.140625" bestFit="1" customWidth="1"/>
    <col min="9" max="9" width="18.5703125" bestFit="1" customWidth="1"/>
    <col min="10" max="10" width="18.42578125" bestFit="1" customWidth="1"/>
    <col min="11" max="11" width="14.85546875" bestFit="1" customWidth="1"/>
    <col min="12" max="12" width="29.28515625" bestFit="1" customWidth="1"/>
  </cols>
  <sheetData>
    <row r="1" spans="1:12">
      <c r="A1" t="s">
        <v>2120</v>
      </c>
      <c r="B1" t="s">
        <v>2121</v>
      </c>
      <c r="C1" t="s">
        <v>2122</v>
      </c>
      <c r="D1" s="169" t="s">
        <v>2123</v>
      </c>
      <c r="E1" t="s">
        <v>2124</v>
      </c>
      <c r="F1" t="s">
        <v>2125</v>
      </c>
      <c r="G1" t="s">
        <v>2126</v>
      </c>
      <c r="H1" t="s">
        <v>2127</v>
      </c>
      <c r="I1" t="s">
        <v>2128</v>
      </c>
      <c r="J1" t="s">
        <v>2129</v>
      </c>
      <c r="K1" t="s">
        <v>2130</v>
      </c>
      <c r="L1" t="s">
        <v>2131</v>
      </c>
    </row>
    <row r="2" spans="1:12">
      <c r="A2" t="s">
        <v>1370</v>
      </c>
      <c r="B2" s="168">
        <v>11980</v>
      </c>
      <c r="C2" s="168">
        <v>0</v>
      </c>
      <c r="D2" s="170">
        <v>11980</v>
      </c>
      <c r="E2" s="168">
        <v>1209980</v>
      </c>
      <c r="F2" s="168">
        <v>0</v>
      </c>
      <c r="G2" s="168">
        <v>1209980</v>
      </c>
      <c r="H2" s="168">
        <v>1198000</v>
      </c>
      <c r="I2" s="168">
        <v>0</v>
      </c>
      <c r="J2" s="168">
        <v>1198000</v>
      </c>
      <c r="K2" t="s">
        <v>1756</v>
      </c>
      <c r="L2" t="s">
        <v>2134</v>
      </c>
    </row>
    <row r="3" spans="1:12">
      <c r="A3" t="s">
        <v>1291</v>
      </c>
      <c r="B3" s="168">
        <v>201850</v>
      </c>
      <c r="C3" s="168">
        <v>0</v>
      </c>
      <c r="D3" s="170">
        <v>201850</v>
      </c>
      <c r="E3" s="168">
        <v>37346850</v>
      </c>
      <c r="F3" s="168">
        <v>0</v>
      </c>
      <c r="G3" s="168">
        <v>37346850</v>
      </c>
      <c r="H3" s="168">
        <v>37145000</v>
      </c>
      <c r="I3" s="168">
        <v>0</v>
      </c>
      <c r="J3" s="168">
        <v>37145000</v>
      </c>
      <c r="K3" t="s">
        <v>2135</v>
      </c>
      <c r="L3" t="s">
        <v>2136</v>
      </c>
    </row>
    <row r="4" spans="1:12">
      <c r="A4" t="s">
        <v>700</v>
      </c>
      <c r="B4" s="168">
        <v>353700</v>
      </c>
      <c r="C4" s="168">
        <v>0</v>
      </c>
      <c r="D4" s="170">
        <v>353700</v>
      </c>
      <c r="E4" s="168">
        <v>35723700</v>
      </c>
      <c r="F4" s="168">
        <v>0</v>
      </c>
      <c r="G4" s="168">
        <v>35723700</v>
      </c>
      <c r="H4" s="168">
        <v>35370000</v>
      </c>
      <c r="I4" s="168">
        <v>0</v>
      </c>
      <c r="J4" s="168">
        <v>35370000</v>
      </c>
      <c r="K4" t="s">
        <v>1761</v>
      </c>
      <c r="L4" t="s">
        <v>2132</v>
      </c>
    </row>
    <row r="5" spans="1:12">
      <c r="A5" t="s">
        <v>709</v>
      </c>
      <c r="B5" s="168">
        <v>100</v>
      </c>
      <c r="C5" s="168">
        <v>0</v>
      </c>
      <c r="D5" s="170">
        <v>100</v>
      </c>
      <c r="E5" s="168">
        <v>10100</v>
      </c>
      <c r="F5" s="168">
        <v>0</v>
      </c>
      <c r="G5" s="168">
        <v>10100</v>
      </c>
      <c r="H5" s="168">
        <v>10000</v>
      </c>
      <c r="I5" s="168">
        <v>0</v>
      </c>
      <c r="J5" s="168">
        <v>10000</v>
      </c>
      <c r="K5" t="s">
        <v>1761</v>
      </c>
      <c r="L5" t="s">
        <v>2132</v>
      </c>
    </row>
    <row r="6" spans="1:12">
      <c r="A6" t="s">
        <v>1230</v>
      </c>
      <c r="B6" s="168">
        <v>8550</v>
      </c>
      <c r="C6" s="168">
        <v>0</v>
      </c>
      <c r="D6" s="170">
        <v>8550</v>
      </c>
      <c r="E6" s="168">
        <v>863550</v>
      </c>
      <c r="F6" s="168">
        <v>0</v>
      </c>
      <c r="G6" s="168">
        <v>863550</v>
      </c>
      <c r="H6" s="168">
        <v>855000</v>
      </c>
      <c r="I6" s="168">
        <v>0</v>
      </c>
      <c r="J6" s="168">
        <v>855000</v>
      </c>
      <c r="K6" t="s">
        <v>1762</v>
      </c>
      <c r="L6" t="s">
        <v>2142</v>
      </c>
    </row>
    <row r="7" spans="1:12">
      <c r="A7" t="s">
        <v>482</v>
      </c>
      <c r="B7" s="168">
        <v>607800</v>
      </c>
      <c r="C7" s="168">
        <v>0</v>
      </c>
      <c r="D7" s="170">
        <v>607800</v>
      </c>
      <c r="E7" s="168">
        <v>61387800</v>
      </c>
      <c r="F7" s="168">
        <v>0</v>
      </c>
      <c r="G7" s="168">
        <v>61387800</v>
      </c>
      <c r="H7" s="168">
        <v>60780000</v>
      </c>
      <c r="I7" s="168">
        <v>0</v>
      </c>
      <c r="J7" s="168">
        <v>60780000</v>
      </c>
      <c r="K7" t="s">
        <v>1758</v>
      </c>
      <c r="L7" t="s">
        <v>2153</v>
      </c>
    </row>
    <row r="8" spans="1:12">
      <c r="A8" t="s">
        <v>533</v>
      </c>
      <c r="B8" s="168">
        <v>5990</v>
      </c>
      <c r="C8" s="168">
        <v>0</v>
      </c>
      <c r="D8" s="170">
        <v>5990</v>
      </c>
      <c r="E8" s="168">
        <v>3004990</v>
      </c>
      <c r="F8" s="168">
        <v>0</v>
      </c>
      <c r="G8" s="168">
        <v>3004990</v>
      </c>
      <c r="H8" s="168">
        <v>2999000</v>
      </c>
      <c r="I8" s="168">
        <v>0</v>
      </c>
      <c r="J8" s="168">
        <v>2999000</v>
      </c>
      <c r="K8" t="s">
        <v>2154</v>
      </c>
      <c r="L8" t="s">
        <v>2155</v>
      </c>
    </row>
    <row r="9" spans="1:12">
      <c r="A9" t="s">
        <v>1449</v>
      </c>
      <c r="B9" s="168">
        <v>53350</v>
      </c>
      <c r="C9" s="168">
        <v>0</v>
      </c>
      <c r="D9" s="170">
        <v>53350</v>
      </c>
      <c r="E9" s="168">
        <v>5388350</v>
      </c>
      <c r="F9" s="168">
        <v>0</v>
      </c>
      <c r="G9" s="168">
        <v>5388350</v>
      </c>
      <c r="H9" s="168">
        <v>5335000</v>
      </c>
      <c r="I9" s="168">
        <v>0</v>
      </c>
      <c r="J9" s="168">
        <v>5335000</v>
      </c>
      <c r="K9" t="s">
        <v>1756</v>
      </c>
      <c r="L9" t="s">
        <v>2134</v>
      </c>
    </row>
    <row r="10" spans="1:12">
      <c r="A10" t="s">
        <v>835</v>
      </c>
      <c r="B10" s="168">
        <v>200</v>
      </c>
      <c r="C10" s="168">
        <v>0</v>
      </c>
      <c r="D10" s="170">
        <v>200</v>
      </c>
      <c r="E10" s="168">
        <v>20200</v>
      </c>
      <c r="F10" s="168">
        <v>0</v>
      </c>
      <c r="G10" s="168">
        <v>20200</v>
      </c>
      <c r="H10" s="168">
        <v>20000</v>
      </c>
      <c r="I10" s="168">
        <v>0</v>
      </c>
      <c r="J10" s="168">
        <v>20000</v>
      </c>
      <c r="K10" t="s">
        <v>1768</v>
      </c>
      <c r="L10" t="s">
        <v>2139</v>
      </c>
    </row>
    <row r="11" spans="1:12">
      <c r="A11" t="s">
        <v>833</v>
      </c>
      <c r="B11" s="168">
        <v>214200</v>
      </c>
      <c r="C11" s="168">
        <v>0</v>
      </c>
      <c r="D11" s="170">
        <v>214200</v>
      </c>
      <c r="E11" s="168">
        <v>21634200</v>
      </c>
      <c r="F11" s="168">
        <v>0</v>
      </c>
      <c r="G11" s="168">
        <v>21634200</v>
      </c>
      <c r="H11" s="168">
        <v>21420000</v>
      </c>
      <c r="I11" s="168">
        <v>0</v>
      </c>
      <c r="J11" s="168">
        <v>21420000</v>
      </c>
      <c r="K11" t="s">
        <v>1768</v>
      </c>
      <c r="L11" t="s">
        <v>2139</v>
      </c>
    </row>
    <row r="12" spans="1:12">
      <c r="A12" t="s">
        <v>1214</v>
      </c>
      <c r="B12" s="168">
        <v>125100</v>
      </c>
      <c r="C12" s="168">
        <v>0</v>
      </c>
      <c r="D12" s="170">
        <v>125100</v>
      </c>
      <c r="E12" s="168">
        <v>12635100</v>
      </c>
      <c r="F12" s="168">
        <v>0</v>
      </c>
      <c r="G12" s="168">
        <v>12635100</v>
      </c>
      <c r="H12" s="168">
        <v>12510000</v>
      </c>
      <c r="I12" s="168">
        <v>0</v>
      </c>
      <c r="J12" s="168">
        <v>12510000</v>
      </c>
      <c r="K12" t="s">
        <v>1762</v>
      </c>
      <c r="L12" t="s">
        <v>2142</v>
      </c>
    </row>
    <row r="13" spans="1:12">
      <c r="A13" t="s">
        <v>692</v>
      </c>
      <c r="B13" s="168">
        <v>1044000</v>
      </c>
      <c r="C13" s="168">
        <v>0</v>
      </c>
      <c r="D13" s="170">
        <v>1044000</v>
      </c>
      <c r="E13" s="168">
        <v>105444000</v>
      </c>
      <c r="F13" s="168">
        <v>0</v>
      </c>
      <c r="G13" s="168">
        <v>105444000</v>
      </c>
      <c r="H13" s="168">
        <v>104400000</v>
      </c>
      <c r="I13" s="168">
        <v>0</v>
      </c>
      <c r="J13" s="168">
        <v>104400000</v>
      </c>
      <c r="K13" t="s">
        <v>1761</v>
      </c>
      <c r="L13" t="s">
        <v>2132</v>
      </c>
    </row>
    <row r="14" spans="1:12">
      <c r="A14" t="s">
        <v>610</v>
      </c>
      <c r="B14" s="168">
        <v>186740</v>
      </c>
      <c r="C14" s="168">
        <v>0</v>
      </c>
      <c r="D14" s="170">
        <v>186740</v>
      </c>
      <c r="E14" s="168">
        <v>18860740</v>
      </c>
      <c r="F14" s="168">
        <v>0</v>
      </c>
      <c r="G14" s="168">
        <v>18860740</v>
      </c>
      <c r="H14" s="168">
        <v>18674000</v>
      </c>
      <c r="I14" s="168">
        <v>0</v>
      </c>
      <c r="J14" s="168">
        <v>18674000</v>
      </c>
      <c r="K14" t="s">
        <v>1763</v>
      </c>
      <c r="L14" t="s">
        <v>2133</v>
      </c>
    </row>
    <row r="15" spans="1:12">
      <c r="A15" t="s">
        <v>534</v>
      </c>
      <c r="B15" s="168">
        <v>26420</v>
      </c>
      <c r="C15" s="168">
        <v>0</v>
      </c>
      <c r="D15" s="170">
        <v>26420</v>
      </c>
      <c r="E15" s="168">
        <v>2668420</v>
      </c>
      <c r="F15" s="168">
        <v>0</v>
      </c>
      <c r="G15" s="168">
        <v>2668420</v>
      </c>
      <c r="H15" s="168">
        <v>2642000</v>
      </c>
      <c r="I15" s="168">
        <v>0</v>
      </c>
      <c r="J15" s="168">
        <v>2642000</v>
      </c>
      <c r="K15" t="s">
        <v>2154</v>
      </c>
      <c r="L15" t="s">
        <v>2155</v>
      </c>
    </row>
    <row r="16" spans="1:12">
      <c r="A16" t="s">
        <v>1265</v>
      </c>
      <c r="B16" s="168">
        <v>43110</v>
      </c>
      <c r="C16" s="168">
        <v>0</v>
      </c>
      <c r="D16" s="170">
        <v>43110</v>
      </c>
      <c r="E16" s="168">
        <v>4354110</v>
      </c>
      <c r="F16" s="168">
        <v>0</v>
      </c>
      <c r="G16" s="168">
        <v>4354110</v>
      </c>
      <c r="H16" s="168">
        <v>4311000</v>
      </c>
      <c r="I16" s="168">
        <v>0</v>
      </c>
      <c r="J16" s="168">
        <v>4311000</v>
      </c>
      <c r="K16" t="s">
        <v>2135</v>
      </c>
      <c r="L16" t="s">
        <v>2136</v>
      </c>
    </row>
    <row r="17" spans="1:12">
      <c r="A17" t="s">
        <v>547</v>
      </c>
      <c r="B17" s="168">
        <v>396710</v>
      </c>
      <c r="C17" s="168">
        <v>0</v>
      </c>
      <c r="D17" s="170">
        <v>396710</v>
      </c>
      <c r="E17" s="168">
        <v>40067710</v>
      </c>
      <c r="F17" s="168">
        <v>0</v>
      </c>
      <c r="G17" s="168">
        <v>40067710</v>
      </c>
      <c r="H17" s="168">
        <v>39671000</v>
      </c>
      <c r="I17" s="168">
        <v>0</v>
      </c>
      <c r="J17" s="168">
        <v>39671000</v>
      </c>
      <c r="K17" t="s">
        <v>1755</v>
      </c>
      <c r="L17" t="s">
        <v>2141</v>
      </c>
    </row>
    <row r="18" spans="1:12">
      <c r="A18" t="s">
        <v>1168</v>
      </c>
      <c r="B18" s="168">
        <v>134700</v>
      </c>
      <c r="C18" s="168">
        <v>0</v>
      </c>
      <c r="D18" s="170">
        <v>134700</v>
      </c>
      <c r="E18" s="168">
        <v>35904700</v>
      </c>
      <c r="F18" s="168">
        <v>0</v>
      </c>
      <c r="G18" s="168">
        <v>35904700</v>
      </c>
      <c r="H18" s="168">
        <v>35770000</v>
      </c>
      <c r="I18" s="168">
        <v>0</v>
      </c>
      <c r="J18" s="168">
        <v>35770000</v>
      </c>
      <c r="K18" t="s">
        <v>1762</v>
      </c>
      <c r="L18" t="s">
        <v>2142</v>
      </c>
    </row>
    <row r="19" spans="1:12">
      <c r="A19" t="s">
        <v>456</v>
      </c>
      <c r="B19" s="168">
        <v>101550</v>
      </c>
      <c r="C19" s="168">
        <v>0</v>
      </c>
      <c r="D19" s="170">
        <v>101550</v>
      </c>
      <c r="E19" s="168">
        <v>10256550</v>
      </c>
      <c r="F19" s="168">
        <v>0</v>
      </c>
      <c r="G19" s="168">
        <v>10256550</v>
      </c>
      <c r="H19" s="168">
        <v>10155000</v>
      </c>
      <c r="I19" s="168">
        <v>0</v>
      </c>
      <c r="J19" s="168">
        <v>10155000</v>
      </c>
      <c r="K19" t="s">
        <v>1765</v>
      </c>
      <c r="L19" t="s">
        <v>2137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ACA8-DC0B-4CF9-B1CE-6230B72FC51E}">
  <dimension ref="A1:L18"/>
  <sheetViews>
    <sheetView workbookViewId="0"/>
  </sheetViews>
  <sheetFormatPr defaultRowHeight="15"/>
  <cols>
    <col min="1" max="1" width="10.140625" bestFit="1" customWidth="1"/>
    <col min="2" max="2" width="16.5703125" bestFit="1" customWidth="1"/>
    <col min="3" max="3" width="20" bestFit="1" customWidth="1"/>
    <col min="4" max="4" width="19.85546875" style="169" bestFit="1" customWidth="1"/>
    <col min="5" max="5" width="15" bestFit="1" customWidth="1"/>
    <col min="6" max="6" width="18.28515625" bestFit="1" customWidth="1"/>
    <col min="7" max="7" width="18.140625" bestFit="1" customWidth="1"/>
    <col min="8" max="8" width="15.140625" bestFit="1" customWidth="1"/>
    <col min="9" max="9" width="18.5703125" bestFit="1" customWidth="1"/>
    <col min="10" max="10" width="18.42578125" bestFit="1" customWidth="1"/>
    <col min="11" max="11" width="14.85546875" bestFit="1" customWidth="1"/>
    <col min="12" max="12" width="29.28515625" bestFit="1" customWidth="1"/>
  </cols>
  <sheetData>
    <row r="1" spans="1:12">
      <c r="A1" t="s">
        <v>2120</v>
      </c>
      <c r="B1" t="s">
        <v>2121</v>
      </c>
      <c r="C1" t="s">
        <v>2122</v>
      </c>
      <c r="D1" s="169" t="s">
        <v>2123</v>
      </c>
      <c r="E1" t="s">
        <v>2124</v>
      </c>
      <c r="F1" t="s">
        <v>2125</v>
      </c>
      <c r="G1" t="s">
        <v>2126</v>
      </c>
      <c r="H1" t="s">
        <v>2127</v>
      </c>
      <c r="I1" t="s">
        <v>2128</v>
      </c>
      <c r="J1" t="s">
        <v>2129</v>
      </c>
      <c r="K1" t="s">
        <v>2130</v>
      </c>
      <c r="L1" t="s">
        <v>2131</v>
      </c>
    </row>
    <row r="2" spans="1:12">
      <c r="A2" t="s">
        <v>1370</v>
      </c>
      <c r="B2" s="168">
        <v>10</v>
      </c>
      <c r="C2" s="168">
        <v>0</v>
      </c>
      <c r="D2" s="170">
        <v>10</v>
      </c>
      <c r="E2" s="168">
        <v>1010</v>
      </c>
      <c r="F2" s="168">
        <v>0</v>
      </c>
      <c r="G2" s="168">
        <v>1010</v>
      </c>
      <c r="H2" s="168">
        <v>1000</v>
      </c>
      <c r="I2" s="168">
        <v>0</v>
      </c>
      <c r="J2" s="168">
        <v>1000</v>
      </c>
      <c r="K2" t="s">
        <v>1756</v>
      </c>
      <c r="L2" t="s">
        <v>2134</v>
      </c>
    </row>
    <row r="3" spans="1:12">
      <c r="A3" t="s">
        <v>1291</v>
      </c>
      <c r="B3" s="168">
        <v>115420</v>
      </c>
      <c r="C3" s="168">
        <v>0</v>
      </c>
      <c r="D3" s="170">
        <v>115420</v>
      </c>
      <c r="E3" s="168">
        <v>15657420</v>
      </c>
      <c r="F3" s="168">
        <v>0</v>
      </c>
      <c r="G3" s="168">
        <v>15657420</v>
      </c>
      <c r="H3" s="168">
        <v>15542000</v>
      </c>
      <c r="I3" s="168">
        <v>0</v>
      </c>
      <c r="J3" s="168">
        <v>15542000</v>
      </c>
      <c r="K3" t="s">
        <v>2135</v>
      </c>
      <c r="L3" t="s">
        <v>2136</v>
      </c>
    </row>
    <row r="4" spans="1:12">
      <c r="A4" t="s">
        <v>700</v>
      </c>
      <c r="B4" s="168">
        <v>236200</v>
      </c>
      <c r="C4" s="168">
        <v>0</v>
      </c>
      <c r="D4" s="170">
        <v>236200</v>
      </c>
      <c r="E4" s="168">
        <v>23856200</v>
      </c>
      <c r="F4" s="168">
        <v>0</v>
      </c>
      <c r="G4" s="168">
        <v>23856200</v>
      </c>
      <c r="H4" s="168">
        <v>23620000</v>
      </c>
      <c r="I4" s="168">
        <v>0</v>
      </c>
      <c r="J4" s="168">
        <v>23620000</v>
      </c>
      <c r="K4" t="s">
        <v>1761</v>
      </c>
      <c r="L4" t="s">
        <v>2132</v>
      </c>
    </row>
    <row r="5" spans="1:12">
      <c r="A5" t="s">
        <v>709</v>
      </c>
      <c r="B5" s="168">
        <v>6000</v>
      </c>
      <c r="C5" s="168">
        <v>0</v>
      </c>
      <c r="D5" s="170">
        <v>6000</v>
      </c>
      <c r="E5" s="168">
        <v>606000</v>
      </c>
      <c r="F5" s="168">
        <v>0</v>
      </c>
      <c r="G5" s="168">
        <v>606000</v>
      </c>
      <c r="H5" s="168">
        <v>600000</v>
      </c>
      <c r="I5" s="168">
        <v>0</v>
      </c>
      <c r="J5" s="168">
        <v>600000</v>
      </c>
      <c r="K5" t="s">
        <v>1761</v>
      </c>
      <c r="L5" t="s">
        <v>2132</v>
      </c>
    </row>
    <row r="6" spans="1:12">
      <c r="A6" t="s">
        <v>1230</v>
      </c>
      <c r="B6" s="168">
        <v>10110</v>
      </c>
      <c r="C6" s="168">
        <v>0</v>
      </c>
      <c r="D6" s="170">
        <v>10110</v>
      </c>
      <c r="E6" s="168">
        <v>2221110</v>
      </c>
      <c r="F6" s="168">
        <v>0</v>
      </c>
      <c r="G6" s="168">
        <v>2221110</v>
      </c>
      <c r="H6" s="168">
        <v>2211000</v>
      </c>
      <c r="I6" s="168">
        <v>0</v>
      </c>
      <c r="J6" s="168">
        <v>2211000</v>
      </c>
      <c r="K6" t="s">
        <v>1762</v>
      </c>
      <c r="L6" t="s">
        <v>2142</v>
      </c>
    </row>
    <row r="7" spans="1:12">
      <c r="A7" t="s">
        <v>482</v>
      </c>
      <c r="B7" s="168">
        <v>1109020</v>
      </c>
      <c r="C7" s="168">
        <v>0</v>
      </c>
      <c r="D7" s="170">
        <v>1109020</v>
      </c>
      <c r="E7" s="168">
        <v>112011020</v>
      </c>
      <c r="F7" s="168">
        <v>0</v>
      </c>
      <c r="G7" s="168">
        <v>112011020</v>
      </c>
      <c r="H7" s="168">
        <v>110902000</v>
      </c>
      <c r="I7" s="168">
        <v>0</v>
      </c>
      <c r="J7" s="168">
        <v>110902000</v>
      </c>
      <c r="K7" t="s">
        <v>1758</v>
      </c>
      <c r="L7" t="s">
        <v>2153</v>
      </c>
    </row>
    <row r="8" spans="1:12">
      <c r="A8" t="s">
        <v>533</v>
      </c>
      <c r="B8" s="168">
        <v>5240</v>
      </c>
      <c r="C8" s="168">
        <v>0</v>
      </c>
      <c r="D8" s="170">
        <v>5240</v>
      </c>
      <c r="E8" s="168">
        <v>529240</v>
      </c>
      <c r="F8" s="168">
        <v>0</v>
      </c>
      <c r="G8" s="168">
        <v>529240</v>
      </c>
      <c r="H8" s="168">
        <v>524000</v>
      </c>
      <c r="I8" s="168">
        <v>0</v>
      </c>
      <c r="J8" s="168">
        <v>524000</v>
      </c>
      <c r="K8" t="s">
        <v>2154</v>
      </c>
      <c r="L8" t="s">
        <v>2155</v>
      </c>
    </row>
    <row r="9" spans="1:12">
      <c r="A9" t="s">
        <v>1449</v>
      </c>
      <c r="B9" s="168">
        <v>200310</v>
      </c>
      <c r="C9" s="168">
        <v>0</v>
      </c>
      <c r="D9" s="170">
        <v>200310</v>
      </c>
      <c r="E9" s="168">
        <v>20231310</v>
      </c>
      <c r="F9" s="168">
        <v>0</v>
      </c>
      <c r="G9" s="168">
        <v>20231310</v>
      </c>
      <c r="H9" s="168">
        <v>20031000</v>
      </c>
      <c r="I9" s="168">
        <v>0</v>
      </c>
      <c r="J9" s="168">
        <v>20031000</v>
      </c>
      <c r="K9" t="s">
        <v>1756</v>
      </c>
      <c r="L9" t="s">
        <v>2134</v>
      </c>
    </row>
    <row r="10" spans="1:12">
      <c r="A10" t="s">
        <v>1214</v>
      </c>
      <c r="B10" s="168">
        <v>40610</v>
      </c>
      <c r="C10" s="168">
        <v>0</v>
      </c>
      <c r="D10" s="170">
        <v>40610</v>
      </c>
      <c r="E10" s="168">
        <v>4101610</v>
      </c>
      <c r="F10" s="168">
        <v>0</v>
      </c>
      <c r="G10" s="168">
        <v>4101610</v>
      </c>
      <c r="H10" s="168">
        <v>4061000</v>
      </c>
      <c r="I10" s="168">
        <v>0</v>
      </c>
      <c r="J10" s="168">
        <v>4061000</v>
      </c>
      <c r="K10" t="s">
        <v>1762</v>
      </c>
      <c r="L10" t="s">
        <v>2142</v>
      </c>
    </row>
    <row r="11" spans="1:12">
      <c r="A11" t="s">
        <v>1319</v>
      </c>
      <c r="B11" s="168">
        <v>1000</v>
      </c>
      <c r="C11" s="168">
        <v>0</v>
      </c>
      <c r="D11" s="170">
        <v>1000</v>
      </c>
      <c r="E11" s="168">
        <v>101000</v>
      </c>
      <c r="F11" s="168">
        <v>0</v>
      </c>
      <c r="G11" s="168">
        <v>101000</v>
      </c>
      <c r="H11" s="168">
        <v>100000</v>
      </c>
      <c r="I11" s="168">
        <v>0</v>
      </c>
      <c r="J11" s="168">
        <v>100000</v>
      </c>
      <c r="K11" t="s">
        <v>1762</v>
      </c>
      <c r="L11" t="s">
        <v>2142</v>
      </c>
    </row>
    <row r="12" spans="1:12">
      <c r="A12" t="s">
        <v>692</v>
      </c>
      <c r="B12" s="168">
        <v>1293600</v>
      </c>
      <c r="C12" s="168">
        <v>0</v>
      </c>
      <c r="D12" s="170">
        <v>1293600</v>
      </c>
      <c r="E12" s="168">
        <v>130653600</v>
      </c>
      <c r="F12" s="168">
        <v>0</v>
      </c>
      <c r="G12" s="168">
        <v>130653600</v>
      </c>
      <c r="H12" s="168">
        <v>129360000</v>
      </c>
      <c r="I12" s="168">
        <v>0</v>
      </c>
      <c r="J12" s="168">
        <v>129360000</v>
      </c>
      <c r="K12" t="s">
        <v>1761</v>
      </c>
      <c r="L12" t="s">
        <v>2132</v>
      </c>
    </row>
    <row r="13" spans="1:12">
      <c r="A13" t="s">
        <v>610</v>
      </c>
      <c r="B13" s="168">
        <v>20160</v>
      </c>
      <c r="C13" s="168">
        <v>0</v>
      </c>
      <c r="D13" s="170">
        <v>20160</v>
      </c>
      <c r="E13" s="168">
        <v>2036160</v>
      </c>
      <c r="F13" s="168">
        <v>0</v>
      </c>
      <c r="G13" s="168">
        <v>2036160</v>
      </c>
      <c r="H13" s="168">
        <v>2016000</v>
      </c>
      <c r="I13" s="168">
        <v>0</v>
      </c>
      <c r="J13" s="168">
        <v>2016000</v>
      </c>
      <c r="K13" t="s">
        <v>1763</v>
      </c>
      <c r="L13" t="s">
        <v>2133</v>
      </c>
    </row>
    <row r="14" spans="1:12">
      <c r="A14" t="s">
        <v>534</v>
      </c>
      <c r="B14" s="168">
        <v>22000</v>
      </c>
      <c r="C14" s="168">
        <v>0</v>
      </c>
      <c r="D14" s="170">
        <v>22000</v>
      </c>
      <c r="E14" s="168">
        <v>2222000</v>
      </c>
      <c r="F14" s="168">
        <v>0</v>
      </c>
      <c r="G14" s="168">
        <v>2222000</v>
      </c>
      <c r="H14" s="168">
        <v>2200000</v>
      </c>
      <c r="I14" s="168">
        <v>0</v>
      </c>
      <c r="J14" s="168">
        <v>2200000</v>
      </c>
      <c r="K14" t="s">
        <v>2154</v>
      </c>
      <c r="L14" t="s">
        <v>2155</v>
      </c>
    </row>
    <row r="15" spans="1:12">
      <c r="A15" t="s">
        <v>1265</v>
      </c>
      <c r="B15" s="168">
        <v>56560</v>
      </c>
      <c r="C15" s="168">
        <v>0</v>
      </c>
      <c r="D15" s="170">
        <v>56560</v>
      </c>
      <c r="E15" s="168">
        <v>5712560</v>
      </c>
      <c r="F15" s="168">
        <v>0</v>
      </c>
      <c r="G15" s="168">
        <v>5712560</v>
      </c>
      <c r="H15" s="168">
        <v>5656000</v>
      </c>
      <c r="I15" s="168">
        <v>0</v>
      </c>
      <c r="J15" s="168">
        <v>5656000</v>
      </c>
      <c r="K15" t="s">
        <v>2135</v>
      </c>
      <c r="L15" t="s">
        <v>2136</v>
      </c>
    </row>
    <row r="16" spans="1:12">
      <c r="A16" t="s">
        <v>547</v>
      </c>
      <c r="B16" s="168">
        <v>221430</v>
      </c>
      <c r="C16" s="168">
        <v>0</v>
      </c>
      <c r="D16" s="170">
        <v>221430</v>
      </c>
      <c r="E16" s="168">
        <v>22364430</v>
      </c>
      <c r="F16" s="168">
        <v>0</v>
      </c>
      <c r="G16" s="168">
        <v>22364430</v>
      </c>
      <c r="H16" s="168">
        <v>22143000</v>
      </c>
      <c r="I16" s="168">
        <v>0</v>
      </c>
      <c r="J16" s="168">
        <v>22143000</v>
      </c>
      <c r="K16" t="s">
        <v>1755</v>
      </c>
      <c r="L16" t="s">
        <v>2141</v>
      </c>
    </row>
    <row r="17" spans="1:12">
      <c r="A17" t="s">
        <v>1168</v>
      </c>
      <c r="B17" s="168">
        <v>145800</v>
      </c>
      <c r="C17" s="168">
        <v>0</v>
      </c>
      <c r="D17" s="170">
        <v>145800</v>
      </c>
      <c r="E17" s="168">
        <v>25725800</v>
      </c>
      <c r="F17" s="168">
        <v>0</v>
      </c>
      <c r="G17" s="168">
        <v>25725800</v>
      </c>
      <c r="H17" s="168">
        <v>25580000</v>
      </c>
      <c r="I17" s="168">
        <v>0</v>
      </c>
      <c r="J17" s="168">
        <v>25580000</v>
      </c>
      <c r="K17" t="s">
        <v>1762</v>
      </c>
      <c r="L17" t="s">
        <v>2142</v>
      </c>
    </row>
    <row r="18" spans="1:12">
      <c r="A18" t="s">
        <v>456</v>
      </c>
      <c r="B18" s="168">
        <v>18940</v>
      </c>
      <c r="C18" s="168">
        <v>0</v>
      </c>
      <c r="D18" s="170">
        <v>18940</v>
      </c>
      <c r="E18" s="168">
        <v>1912940</v>
      </c>
      <c r="F18" s="168">
        <v>0</v>
      </c>
      <c r="G18" s="168">
        <v>1912940</v>
      </c>
      <c r="H18" s="168">
        <v>1894000</v>
      </c>
      <c r="I18" s="168">
        <v>0</v>
      </c>
      <c r="J18" s="168">
        <v>1894000</v>
      </c>
      <c r="K18" t="s">
        <v>1765</v>
      </c>
      <c r="L18" t="s">
        <v>2137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921A-601E-4693-9755-53576729A28B}">
  <dimension ref="A1:L19"/>
  <sheetViews>
    <sheetView workbookViewId="0"/>
  </sheetViews>
  <sheetFormatPr defaultRowHeight="15"/>
  <cols>
    <col min="1" max="1" width="10.140625" bestFit="1" customWidth="1"/>
    <col min="2" max="2" width="16.5703125" bestFit="1" customWidth="1"/>
    <col min="3" max="3" width="20" bestFit="1" customWidth="1"/>
    <col min="4" max="4" width="19.85546875" style="169" bestFit="1" customWidth="1"/>
    <col min="5" max="5" width="15" bestFit="1" customWidth="1"/>
    <col min="6" max="6" width="18.28515625" bestFit="1" customWidth="1"/>
    <col min="7" max="7" width="18.140625" bestFit="1" customWidth="1"/>
    <col min="8" max="8" width="15.140625" bestFit="1" customWidth="1"/>
    <col min="9" max="9" width="18.5703125" bestFit="1" customWidth="1"/>
    <col min="10" max="10" width="18.42578125" bestFit="1" customWidth="1"/>
    <col min="11" max="11" width="14.85546875" bestFit="1" customWidth="1"/>
    <col min="12" max="12" width="29.28515625" bestFit="1" customWidth="1"/>
  </cols>
  <sheetData>
    <row r="1" spans="1:12">
      <c r="A1" t="s">
        <v>2120</v>
      </c>
      <c r="B1" t="s">
        <v>2121</v>
      </c>
      <c r="C1" t="s">
        <v>2122</v>
      </c>
      <c r="D1" s="169" t="s">
        <v>2123</v>
      </c>
      <c r="E1" t="s">
        <v>2124</v>
      </c>
      <c r="F1" t="s">
        <v>2125</v>
      </c>
      <c r="G1" t="s">
        <v>2126</v>
      </c>
      <c r="H1" t="s">
        <v>2127</v>
      </c>
      <c r="I1" t="s">
        <v>2128</v>
      </c>
      <c r="J1" t="s">
        <v>2129</v>
      </c>
      <c r="K1" t="s">
        <v>2130</v>
      </c>
      <c r="L1" t="s">
        <v>2131</v>
      </c>
    </row>
    <row r="2" spans="1:12">
      <c r="A2" t="s">
        <v>1370</v>
      </c>
      <c r="B2" s="168">
        <v>100</v>
      </c>
      <c r="C2" s="168">
        <v>0</v>
      </c>
      <c r="D2" s="170">
        <v>100</v>
      </c>
      <c r="E2" s="168">
        <v>10100</v>
      </c>
      <c r="F2" s="168">
        <v>0</v>
      </c>
      <c r="G2" s="168">
        <v>10100</v>
      </c>
      <c r="H2" s="168">
        <v>10000</v>
      </c>
      <c r="I2" s="168">
        <v>0</v>
      </c>
      <c r="J2" s="168">
        <v>10000</v>
      </c>
      <c r="K2" t="s">
        <v>1756</v>
      </c>
      <c r="L2" t="s">
        <v>2134</v>
      </c>
    </row>
    <row r="3" spans="1:12">
      <c r="A3" t="s">
        <v>1291</v>
      </c>
      <c r="B3" s="168">
        <v>236300</v>
      </c>
      <c r="C3" s="168">
        <v>0</v>
      </c>
      <c r="D3" s="170">
        <v>236300</v>
      </c>
      <c r="E3" s="168">
        <v>23866300</v>
      </c>
      <c r="F3" s="168">
        <v>0</v>
      </c>
      <c r="G3" s="168">
        <v>23866300</v>
      </c>
      <c r="H3" s="168">
        <v>23630000</v>
      </c>
      <c r="I3" s="168">
        <v>0</v>
      </c>
      <c r="J3" s="168">
        <v>23630000</v>
      </c>
      <c r="K3" t="s">
        <v>2135</v>
      </c>
      <c r="L3" t="s">
        <v>2136</v>
      </c>
    </row>
    <row r="4" spans="1:12">
      <c r="A4" t="s">
        <v>700</v>
      </c>
      <c r="B4" s="168">
        <v>1051910</v>
      </c>
      <c r="C4" s="168">
        <v>0</v>
      </c>
      <c r="D4" s="170">
        <v>1051910</v>
      </c>
      <c r="E4" s="168">
        <v>106242910</v>
      </c>
      <c r="F4" s="168">
        <v>0</v>
      </c>
      <c r="G4" s="168">
        <v>106242910</v>
      </c>
      <c r="H4" s="168">
        <v>105191000</v>
      </c>
      <c r="I4" s="168">
        <v>0</v>
      </c>
      <c r="J4" s="168">
        <v>105191000</v>
      </c>
      <c r="K4" t="s">
        <v>1761</v>
      </c>
      <c r="L4" t="s">
        <v>2132</v>
      </c>
    </row>
    <row r="5" spans="1:12">
      <c r="A5" t="s">
        <v>709</v>
      </c>
      <c r="B5" s="168">
        <v>101650</v>
      </c>
      <c r="C5" s="168">
        <v>0</v>
      </c>
      <c r="D5" s="170">
        <v>101650</v>
      </c>
      <c r="E5" s="168">
        <v>10266650</v>
      </c>
      <c r="F5" s="168">
        <v>0</v>
      </c>
      <c r="G5" s="168">
        <v>10266650</v>
      </c>
      <c r="H5" s="168">
        <v>10165000</v>
      </c>
      <c r="I5" s="168">
        <v>0</v>
      </c>
      <c r="J5" s="168">
        <v>10165000</v>
      </c>
      <c r="K5" t="s">
        <v>1761</v>
      </c>
      <c r="L5" t="s">
        <v>2132</v>
      </c>
    </row>
    <row r="6" spans="1:12">
      <c r="A6" t="s">
        <v>482</v>
      </c>
      <c r="B6" s="168">
        <v>345410</v>
      </c>
      <c r="C6" s="168">
        <v>0</v>
      </c>
      <c r="D6" s="170">
        <v>345410</v>
      </c>
      <c r="E6" s="168">
        <v>34886410</v>
      </c>
      <c r="F6" s="168">
        <v>0</v>
      </c>
      <c r="G6" s="168">
        <v>34886410</v>
      </c>
      <c r="H6" s="168">
        <v>34541000</v>
      </c>
      <c r="I6" s="168">
        <v>0</v>
      </c>
      <c r="J6" s="168">
        <v>34541000</v>
      </c>
      <c r="K6" t="s">
        <v>1758</v>
      </c>
      <c r="L6" t="s">
        <v>2153</v>
      </c>
    </row>
    <row r="7" spans="1:12">
      <c r="A7" t="s">
        <v>533</v>
      </c>
      <c r="B7" s="168">
        <v>140</v>
      </c>
      <c r="C7" s="168">
        <v>0</v>
      </c>
      <c r="D7" s="170">
        <v>140</v>
      </c>
      <c r="E7" s="168">
        <v>14140</v>
      </c>
      <c r="F7" s="168">
        <v>0</v>
      </c>
      <c r="G7" s="168">
        <v>14140</v>
      </c>
      <c r="H7" s="168">
        <v>14000</v>
      </c>
      <c r="I7" s="168">
        <v>0</v>
      </c>
      <c r="J7" s="168">
        <v>14000</v>
      </c>
      <c r="K7" t="s">
        <v>2154</v>
      </c>
      <c r="L7" t="s">
        <v>2155</v>
      </c>
    </row>
    <row r="8" spans="1:12">
      <c r="A8" t="s">
        <v>1449</v>
      </c>
      <c r="B8" s="168">
        <v>77000</v>
      </c>
      <c r="C8" s="168">
        <v>0</v>
      </c>
      <c r="D8" s="170">
        <v>77000</v>
      </c>
      <c r="E8" s="168">
        <v>7777000</v>
      </c>
      <c r="F8" s="168">
        <v>0</v>
      </c>
      <c r="G8" s="168">
        <v>7777000</v>
      </c>
      <c r="H8" s="168">
        <v>7700000</v>
      </c>
      <c r="I8" s="168">
        <v>0</v>
      </c>
      <c r="J8" s="168">
        <v>7700000</v>
      </c>
      <c r="K8" t="s">
        <v>1756</v>
      </c>
      <c r="L8" t="s">
        <v>2134</v>
      </c>
    </row>
    <row r="9" spans="1:12">
      <c r="A9" t="s">
        <v>833</v>
      </c>
      <c r="B9" s="168">
        <v>23000</v>
      </c>
      <c r="C9" s="168">
        <v>0</v>
      </c>
      <c r="D9" s="170">
        <v>23000</v>
      </c>
      <c r="E9" s="168">
        <v>2323000</v>
      </c>
      <c r="F9" s="168">
        <v>0</v>
      </c>
      <c r="G9" s="168">
        <v>2323000</v>
      </c>
      <c r="H9" s="168">
        <v>2300000</v>
      </c>
      <c r="I9" s="168">
        <v>0</v>
      </c>
      <c r="J9" s="168">
        <v>2300000</v>
      </c>
      <c r="K9" t="s">
        <v>1768</v>
      </c>
      <c r="L9" t="s">
        <v>2139</v>
      </c>
    </row>
    <row r="10" spans="1:12">
      <c r="A10" t="s">
        <v>1214</v>
      </c>
      <c r="B10" s="168">
        <v>9000</v>
      </c>
      <c r="C10" s="168">
        <v>0</v>
      </c>
      <c r="D10" s="170">
        <v>9000</v>
      </c>
      <c r="E10" s="168">
        <v>909000</v>
      </c>
      <c r="F10" s="168">
        <v>0</v>
      </c>
      <c r="G10" s="168">
        <v>909000</v>
      </c>
      <c r="H10" s="168">
        <v>900000</v>
      </c>
      <c r="I10" s="168">
        <v>0</v>
      </c>
      <c r="J10" s="168">
        <v>900000</v>
      </c>
      <c r="K10" t="s">
        <v>1762</v>
      </c>
      <c r="L10" t="s">
        <v>2142</v>
      </c>
    </row>
    <row r="11" spans="1:12">
      <c r="A11" t="s">
        <v>1319</v>
      </c>
      <c r="B11" s="168">
        <v>8000</v>
      </c>
      <c r="C11" s="168">
        <v>0</v>
      </c>
      <c r="D11" s="170">
        <v>8000</v>
      </c>
      <c r="E11" s="168">
        <v>808000</v>
      </c>
      <c r="F11" s="168">
        <v>0</v>
      </c>
      <c r="G11" s="168">
        <v>808000</v>
      </c>
      <c r="H11" s="168">
        <v>800000</v>
      </c>
      <c r="I11" s="168">
        <v>0</v>
      </c>
      <c r="J11" s="168">
        <v>800000</v>
      </c>
      <c r="K11" t="s">
        <v>1762</v>
      </c>
      <c r="L11" t="s">
        <v>2142</v>
      </c>
    </row>
    <row r="12" spans="1:12">
      <c r="A12" t="s">
        <v>448</v>
      </c>
      <c r="B12" s="168">
        <v>42320</v>
      </c>
      <c r="C12" s="168">
        <v>0</v>
      </c>
      <c r="D12" s="170">
        <v>42320</v>
      </c>
      <c r="E12" s="168">
        <v>4274320</v>
      </c>
      <c r="F12" s="168">
        <v>0</v>
      </c>
      <c r="G12" s="168">
        <v>4274320</v>
      </c>
      <c r="H12" s="168">
        <v>4232000</v>
      </c>
      <c r="I12" s="168">
        <v>0</v>
      </c>
      <c r="J12" s="168">
        <v>4232000</v>
      </c>
      <c r="K12" t="s">
        <v>1765</v>
      </c>
      <c r="L12" t="s">
        <v>2137</v>
      </c>
    </row>
    <row r="13" spans="1:12">
      <c r="A13" t="s">
        <v>692</v>
      </c>
      <c r="B13" s="168">
        <v>530100</v>
      </c>
      <c r="C13" s="168">
        <v>0</v>
      </c>
      <c r="D13" s="170">
        <v>530100</v>
      </c>
      <c r="E13" s="168">
        <v>53540100</v>
      </c>
      <c r="F13" s="168">
        <v>0</v>
      </c>
      <c r="G13" s="168">
        <v>53540100</v>
      </c>
      <c r="H13" s="168">
        <v>53010000</v>
      </c>
      <c r="I13" s="168">
        <v>0</v>
      </c>
      <c r="J13" s="168">
        <v>53010000</v>
      </c>
      <c r="K13" t="s">
        <v>1761</v>
      </c>
      <c r="L13" t="s">
        <v>2132</v>
      </c>
    </row>
    <row r="14" spans="1:12">
      <c r="A14" t="s">
        <v>610</v>
      </c>
      <c r="B14" s="168">
        <v>36600</v>
      </c>
      <c r="C14" s="168">
        <v>0</v>
      </c>
      <c r="D14" s="170">
        <v>36600</v>
      </c>
      <c r="E14" s="168">
        <v>3696600</v>
      </c>
      <c r="F14" s="168">
        <v>0</v>
      </c>
      <c r="G14" s="168">
        <v>3696600</v>
      </c>
      <c r="H14" s="168">
        <v>3660000</v>
      </c>
      <c r="I14" s="168">
        <v>0</v>
      </c>
      <c r="J14" s="168">
        <v>3660000</v>
      </c>
      <c r="K14" t="s">
        <v>1763</v>
      </c>
      <c r="L14" t="s">
        <v>2133</v>
      </c>
    </row>
    <row r="15" spans="1:12">
      <c r="A15" t="s">
        <v>534</v>
      </c>
      <c r="B15" s="168">
        <v>38110</v>
      </c>
      <c r="C15" s="168">
        <v>0</v>
      </c>
      <c r="D15" s="170">
        <v>38110</v>
      </c>
      <c r="E15" s="168">
        <v>3849110</v>
      </c>
      <c r="F15" s="168">
        <v>0</v>
      </c>
      <c r="G15" s="168">
        <v>3849110</v>
      </c>
      <c r="H15" s="168">
        <v>3811000</v>
      </c>
      <c r="I15" s="168">
        <v>0</v>
      </c>
      <c r="J15" s="168">
        <v>3811000</v>
      </c>
      <c r="K15" t="s">
        <v>2154</v>
      </c>
      <c r="L15" t="s">
        <v>2155</v>
      </c>
    </row>
    <row r="16" spans="1:12">
      <c r="A16" t="s">
        <v>1265</v>
      </c>
      <c r="B16" s="168">
        <v>120910</v>
      </c>
      <c r="C16" s="168">
        <v>0</v>
      </c>
      <c r="D16" s="170">
        <v>120910</v>
      </c>
      <c r="E16" s="168">
        <v>12211910</v>
      </c>
      <c r="F16" s="168">
        <v>0</v>
      </c>
      <c r="G16" s="168">
        <v>12211910</v>
      </c>
      <c r="H16" s="168">
        <v>12091000</v>
      </c>
      <c r="I16" s="168">
        <v>0</v>
      </c>
      <c r="J16" s="168">
        <v>12091000</v>
      </c>
      <c r="K16" t="s">
        <v>2135</v>
      </c>
      <c r="L16" t="s">
        <v>2136</v>
      </c>
    </row>
    <row r="17" spans="1:12">
      <c r="A17" t="s">
        <v>547</v>
      </c>
      <c r="B17" s="168">
        <v>214100</v>
      </c>
      <c r="C17" s="168">
        <v>0</v>
      </c>
      <c r="D17" s="170">
        <v>214100</v>
      </c>
      <c r="E17" s="168">
        <v>21624100</v>
      </c>
      <c r="F17" s="168">
        <v>0</v>
      </c>
      <c r="G17" s="168">
        <v>21624100</v>
      </c>
      <c r="H17" s="168">
        <v>21410000</v>
      </c>
      <c r="I17" s="168">
        <v>0</v>
      </c>
      <c r="J17" s="168">
        <v>21410000</v>
      </c>
      <c r="K17" t="s">
        <v>1755</v>
      </c>
      <c r="L17" t="s">
        <v>2141</v>
      </c>
    </row>
    <row r="18" spans="1:12">
      <c r="A18" t="s">
        <v>1168</v>
      </c>
      <c r="B18" s="168">
        <v>158600</v>
      </c>
      <c r="C18" s="168">
        <v>0</v>
      </c>
      <c r="D18" s="170">
        <v>158600</v>
      </c>
      <c r="E18" s="168">
        <v>40468600</v>
      </c>
      <c r="F18" s="168">
        <v>0</v>
      </c>
      <c r="G18" s="168">
        <v>40468600</v>
      </c>
      <c r="H18" s="168">
        <v>40310000</v>
      </c>
      <c r="I18" s="168">
        <v>0</v>
      </c>
      <c r="J18" s="168">
        <v>40310000</v>
      </c>
      <c r="K18" t="s">
        <v>1762</v>
      </c>
      <c r="L18" t="s">
        <v>2142</v>
      </c>
    </row>
    <row r="19" spans="1:12">
      <c r="A19" t="s">
        <v>456</v>
      </c>
      <c r="B19" s="168">
        <v>9660</v>
      </c>
      <c r="C19" s="168">
        <v>0</v>
      </c>
      <c r="D19" s="170">
        <v>9660</v>
      </c>
      <c r="E19" s="168">
        <v>975660</v>
      </c>
      <c r="F19" s="168">
        <v>0</v>
      </c>
      <c r="G19" s="168">
        <v>975660</v>
      </c>
      <c r="H19" s="168">
        <v>966000</v>
      </c>
      <c r="I19" s="168">
        <v>0</v>
      </c>
      <c r="J19" s="168">
        <v>966000</v>
      </c>
      <c r="K19" t="s">
        <v>1765</v>
      </c>
      <c r="L19" t="s">
        <v>2137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1</vt:i4>
      </vt:variant>
    </vt:vector>
  </HeadingPairs>
  <TitlesOfParts>
    <vt:vector size="13" baseType="lpstr">
      <vt:lpstr>FULL</vt:lpstr>
      <vt:lpstr>Uzcard</vt:lpstr>
      <vt:lpstr>Humo</vt:lpstr>
      <vt:lpstr>2026 iyul uzcard</vt:lpstr>
      <vt:lpstr>2026 iyul humo</vt:lpstr>
      <vt:lpstr>2026 iyul vash</vt:lpstr>
      <vt:lpstr>2026 iyun vash</vt:lpstr>
      <vt:lpstr>2026 may vash</vt:lpstr>
      <vt:lpstr>2026 aprel vash</vt:lpstr>
      <vt:lpstr>2026 mart vash</vt:lpstr>
      <vt:lpstr>2026 fevral vash</vt:lpstr>
      <vt:lpstr>2026 yanvar vash</vt:lpstr>
      <vt:lpstr>FULL!Область_печати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Mirolim Ortiqov</dc:creator>
  <cp:lastModifiedBy>Mirolim Ortiqov</cp:lastModifiedBy>
  <cp:lastPrinted>2026-08-17T07:57:31Z</cp:lastPrinted>
  <dcterms:created xsi:type="dcterms:W3CDTF">2015-06-05T18:19:34Z</dcterms:created>
  <dcterms:modified xsi:type="dcterms:W3CDTF">2026-08-25T06:00:07Z</dcterms:modified>
</cp:coreProperties>
</file>